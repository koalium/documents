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05" windowWidth="19440" windowHeight="9975" tabRatio="814"/>
  </bookViews>
  <sheets>
    <sheet name="Introduction" sheetId="26" r:id="rId1"/>
    <sheet name="Instructions" sheetId="30" r:id="rId2"/>
    <sheet name="Annexure 1_PFD" sheetId="17" r:id="rId3"/>
    <sheet name="Annexure_2_Input_table" sheetId="16" r:id="rId4"/>
    <sheet name="Annexure_3_output_table" sheetId="31" r:id="rId5"/>
    <sheet name="Annexure_4_VBA Code" sheetId="28" r:id="rId6"/>
    <sheet name="Annexure_5_HYSYS_Snapshot" sheetId="33" r:id="rId7"/>
  </sheets>
  <externalReferences>
    <externalReference r:id="rId8"/>
  </externalReferences>
  <definedNames>
    <definedName name="_DIS1">[1]average!$E$20</definedName>
    <definedName name="_DIS2">[1]average!$F$20</definedName>
    <definedName name="_DIS3">[1]average!$G$20</definedName>
    <definedName name="_DIS4">[1]average!$H$20</definedName>
    <definedName name="_TG1011" localSheetId="4">#REF!</definedName>
    <definedName name="_TG1011">#REF!</definedName>
    <definedName name="_TG1012" localSheetId="4">#REF!</definedName>
    <definedName name="_TG1012">#REF!</definedName>
    <definedName name="_TG1013" localSheetId="4">#REF!</definedName>
    <definedName name="_TG1013">#REF!</definedName>
    <definedName name="_TG1014" localSheetId="4">#REF!</definedName>
    <definedName name="_TG1014">#REF!</definedName>
    <definedName name="alamat" localSheetId="4">#REF!</definedName>
    <definedName name="alamat">#REF!</definedName>
    <definedName name="DISC1" localSheetId="4">#REF!</definedName>
    <definedName name="DISC1">#REF!</definedName>
    <definedName name="DISC2" localSheetId="4">#REF!</definedName>
    <definedName name="DISC2">#REF!</definedName>
    <definedName name="DISC3" localSheetId="4">#REF!</definedName>
    <definedName name="DISC3">#REF!</definedName>
    <definedName name="DISC4" localSheetId="4">#REF!</definedName>
    <definedName name="DISC4">#REF!</definedName>
    <definedName name="FEED1">[1]average!$E$7</definedName>
    <definedName name="FEED2">[1]average!$F$7</definedName>
    <definedName name="FEED3">[1]average!$G$7</definedName>
    <definedName name="FEED4">[1]average!$H$7</definedName>
    <definedName name="FeedCompStart" localSheetId="4">#REF!</definedName>
    <definedName name="FeedCompStart">#REF!</definedName>
    <definedName name="FeedFlow" localSheetId="4">#REF!</definedName>
    <definedName name="FeedFlow">#REF!</definedName>
    <definedName name="FeedPres" localSheetId="4">#REF!</definedName>
    <definedName name="FeedPres">#REF!</definedName>
    <definedName name="FeedTemp" localSheetId="4">#REF!</definedName>
    <definedName name="FeedTemp">#REF!</definedName>
    <definedName name="FORMAT" localSheetId="4">#REF!</definedName>
    <definedName name="FORMAT">#REF!</definedName>
    <definedName name="heatborid" localSheetId="4">#REF!</definedName>
    <definedName name="heatborid">#REF!</definedName>
    <definedName name="heatborin" localSheetId="4">#REF!</definedName>
    <definedName name="heatborin">#REF!</definedName>
    <definedName name="heatbrevd" localSheetId="4">#REF!</definedName>
    <definedName name="heatbrevd">#REF!</definedName>
    <definedName name="heatbrevn" localSheetId="4">#REF!</definedName>
    <definedName name="heatbrevn">#REF!</definedName>
    <definedName name="LiqFlow" localSheetId="4">#REF!</definedName>
    <definedName name="LiqFlow">#REF!</definedName>
    <definedName name="LiqStart" localSheetId="4">#REF!</definedName>
    <definedName name="LiqStart">#REF!</definedName>
    <definedName name="oriday" localSheetId="4">#REF!</definedName>
    <definedName name="oriday">#REF!</definedName>
    <definedName name="orinight" localSheetId="4">#REF!</definedName>
    <definedName name="orinight">#REF!</definedName>
    <definedName name="_xlnm.Print_Area" localSheetId="2">'Annexure 1_PFD'!$A$1:$K$26</definedName>
    <definedName name="_xlnm.Print_Area" localSheetId="3">Annexure_2_Input_table!$A$1:$H$21</definedName>
    <definedName name="_xlnm.Print_Area" localSheetId="4">Annexure_3_output_table!$A$1:$M$13</definedName>
    <definedName name="_xlnm.Print_Area" localSheetId="1">Instructions!$A$1:$A$12</definedName>
    <definedName name="_xlnm.Print_Area" localSheetId="0">Introduction!$A$1:$I$10</definedName>
    <definedName name="rev2day" localSheetId="4">#REF!</definedName>
    <definedName name="rev2day">#REF!</definedName>
    <definedName name="rev2night" localSheetId="4">#REF!</definedName>
    <definedName name="rev2night">#REF!</definedName>
    <definedName name="revday" localSheetId="4">#REF!</definedName>
    <definedName name="revday">#REF!</definedName>
    <definedName name="revnight" localSheetId="4">#REF!</definedName>
    <definedName name="revnight">#REF!</definedName>
    <definedName name="VapCompStart" localSheetId="4">#REF!</definedName>
    <definedName name="VapCompStart">#REF!</definedName>
    <definedName name="VapFlow" localSheetId="4">#REF!</definedName>
    <definedName name="VapFlow">#REF!</definedName>
  </definedNames>
  <calcPr calcId="125725"/>
</workbook>
</file>

<file path=xl/calcChain.xml><?xml version="1.0" encoding="utf-8"?>
<calcChain xmlns="http://schemas.openxmlformats.org/spreadsheetml/2006/main">
  <c r="A19" i="17"/>
  <c r="E10" i="16"/>
  <c r="D10"/>
  <c r="E9"/>
  <c r="D9"/>
  <c r="E7"/>
  <c r="D7"/>
  <c r="H6"/>
  <c r="G6"/>
  <c r="F6"/>
  <c r="E6"/>
  <c r="D6"/>
</calcChain>
</file>

<file path=xl/comments1.xml><?xml version="1.0" encoding="utf-8"?>
<comments xmlns="http://schemas.openxmlformats.org/spreadsheetml/2006/main">
  <authors>
    <author>asatpute</author>
  </authors>
  <commentList>
    <comment ref="A19" authorId="0">
      <text>
        <r>
          <rPr>
            <b/>
            <sz val="8"/>
            <color indexed="81"/>
            <rFont val="Tahoma"/>
            <family val="2"/>
          </rPr>
          <t>Linked to Annexure_3_output_table</t>
        </r>
      </text>
    </comment>
  </commentList>
</comments>
</file>

<file path=xl/comments2.xml><?xml version="1.0" encoding="utf-8"?>
<comments xmlns="http://schemas.openxmlformats.org/spreadsheetml/2006/main">
  <authors>
    <author>asatpute</author>
  </authors>
  <commentList>
    <comment ref="B2" authorId="0">
      <text>
        <r>
          <rPr>
            <b/>
            <sz val="8"/>
            <color indexed="81"/>
            <rFont val="Tahoma"/>
            <family val="2"/>
          </rPr>
          <t>Hysys file location</t>
        </r>
      </text>
    </comment>
    <comment ref="D6" authorId="0">
      <text>
        <r>
          <rPr>
            <b/>
            <sz val="8"/>
            <color indexed="81"/>
            <rFont val="Tahoma"/>
            <family val="2"/>
          </rPr>
          <t>Linked to Annexure_1_PFD</t>
        </r>
      </text>
    </comment>
    <comment ref="E6" authorId="0">
      <text>
        <r>
          <rPr>
            <b/>
            <sz val="8"/>
            <color indexed="81"/>
            <rFont val="Tahoma"/>
            <family val="2"/>
          </rPr>
          <t>Linked to Annexure_1_PFD</t>
        </r>
      </text>
    </comment>
    <comment ref="F6" authorId="0">
      <text>
        <r>
          <rPr>
            <b/>
            <sz val="8"/>
            <color indexed="81"/>
            <rFont val="Tahoma"/>
            <family val="2"/>
          </rPr>
          <t>Linked to Annexure_1_PFD</t>
        </r>
      </text>
    </comment>
    <comment ref="G6" authorId="0">
      <text>
        <r>
          <rPr>
            <b/>
            <sz val="8"/>
            <color indexed="81"/>
            <rFont val="Tahoma"/>
            <family val="2"/>
          </rPr>
          <t>Linked to Annexure_1_PFD</t>
        </r>
      </text>
    </comment>
    <comment ref="H6" authorId="0">
      <text>
        <r>
          <rPr>
            <b/>
            <sz val="8"/>
            <color indexed="81"/>
            <rFont val="Tahoma"/>
            <family val="2"/>
          </rPr>
          <t>Linked to Annexure_1_PFD</t>
        </r>
      </text>
    </comment>
    <comment ref="D7" authorId="0">
      <text>
        <r>
          <rPr>
            <b/>
            <sz val="8"/>
            <color indexed="81"/>
            <rFont val="Tahoma"/>
            <family val="2"/>
          </rPr>
          <t>Linked to Annexure_1_PFD</t>
        </r>
      </text>
    </comment>
    <comment ref="E7" authorId="0">
      <text>
        <r>
          <rPr>
            <b/>
            <sz val="8"/>
            <color indexed="81"/>
            <rFont val="Tahoma"/>
            <family val="2"/>
          </rPr>
          <t>Linked to Annexure_1_PFD</t>
        </r>
      </text>
    </comment>
    <comment ref="D9" authorId="0">
      <text>
        <r>
          <rPr>
            <b/>
            <sz val="8"/>
            <color indexed="81"/>
            <rFont val="Tahoma"/>
            <family val="2"/>
          </rPr>
          <t>Linked to Annexure_1_PFD</t>
        </r>
      </text>
    </comment>
    <comment ref="E9" authorId="0">
      <text>
        <r>
          <rPr>
            <b/>
            <sz val="8"/>
            <color indexed="81"/>
            <rFont val="Tahoma"/>
            <family val="2"/>
          </rPr>
          <t>Linked to Annexure_1_PFD</t>
        </r>
      </text>
    </comment>
    <comment ref="D10" authorId="0">
      <text>
        <r>
          <rPr>
            <b/>
            <sz val="8"/>
            <color indexed="81"/>
            <rFont val="Tahoma"/>
            <family val="2"/>
          </rPr>
          <t>Linked to Annexure_1_PFD</t>
        </r>
      </text>
    </comment>
    <comment ref="E10" authorId="0">
      <text>
        <r>
          <rPr>
            <b/>
            <sz val="8"/>
            <color indexed="81"/>
            <rFont val="Tahoma"/>
            <family val="2"/>
          </rPr>
          <t>Linked to Annexure_1_PFD</t>
        </r>
      </text>
    </comment>
  </commentList>
</comments>
</file>

<file path=xl/sharedStrings.xml><?xml version="1.0" encoding="utf-8"?>
<sst xmlns="http://schemas.openxmlformats.org/spreadsheetml/2006/main" count="162" uniqueCount="138">
  <si>
    <t>kg/h</t>
  </si>
  <si>
    <t>Vap. Fra.</t>
  </si>
  <si>
    <t>Pressure</t>
  </si>
  <si>
    <t>Temp.</t>
  </si>
  <si>
    <t>Flow rate</t>
  </si>
  <si>
    <t>Description</t>
  </si>
  <si>
    <t>(Note 1)</t>
  </si>
  <si>
    <r>
      <rPr>
        <b/>
        <vertAlign val="superscript"/>
        <sz val="11"/>
        <color theme="1"/>
        <rFont val="Calibri"/>
        <family val="2"/>
        <scheme val="minor"/>
      </rPr>
      <t>o</t>
    </r>
    <r>
      <rPr>
        <b/>
        <sz val="11"/>
        <color theme="1"/>
        <rFont val="Calibri"/>
        <family val="2"/>
        <scheme val="minor"/>
      </rPr>
      <t>C</t>
    </r>
  </si>
  <si>
    <r>
      <t>kg/cm</t>
    </r>
    <r>
      <rPr>
        <b/>
        <vertAlign val="superscript"/>
        <sz val="11"/>
        <color theme="1"/>
        <rFont val="Calibri"/>
        <family val="2"/>
        <scheme val="minor"/>
      </rPr>
      <t>2</t>
    </r>
    <r>
      <rPr>
        <b/>
        <sz val="11"/>
        <color theme="1"/>
        <rFont val="Calibri"/>
        <family val="2"/>
        <scheme val="minor"/>
      </rPr>
      <t>g</t>
    </r>
  </si>
  <si>
    <t>Annexure 2: Input Table</t>
  </si>
  <si>
    <t>Option Explicit</t>
  </si>
  <si>
    <t>Public hyApp As HYSYS.Application</t>
  </si>
  <si>
    <t>Public simCase As SimulationCase</t>
  </si>
  <si>
    <t>Dim fileName As String</t>
  </si>
  <si>
    <t xml:space="preserve">    </t>
  </si>
  <si>
    <t xml:space="preserve">    Set hyApp = CreateObject("HYSYS.Application")</t>
  </si>
  <si>
    <t xml:space="preserve">    hyApp.Visible = True</t>
  </si>
  <si>
    <t xml:space="preserve">    Set simCase = hyApp.ActiveDocument</t>
  </si>
  <si>
    <t xml:space="preserve">    If simCase Is Nothing Then</t>
  </si>
  <si>
    <t xml:space="preserve">        </t>
  </si>
  <si>
    <t xml:space="preserve">        If fileName &lt;&gt; "False" And simCase Is Nothing Then</t>
  </si>
  <si>
    <t xml:space="preserve">            Set simCase = GetObject(fileName, "HYSYS.SimulationCase")</t>
  </si>
  <si>
    <t xml:space="preserve">            simCase.Visible = True</t>
  </si>
  <si>
    <t xml:space="preserve">        End If</t>
  </si>
  <si>
    <t xml:space="preserve">    End If</t>
  </si>
  <si>
    <t xml:space="preserve">     ' Set pressure from excel (Annexure_1_PFD) to hysys file</t>
  </si>
  <si>
    <t xml:space="preserve">     ' Set mass flow rate from excel (Annexure_1_PFD) to hysys file</t>
  </si>
  <si>
    <t>Instructions:</t>
  </si>
  <si>
    <t>Hysys stream number</t>
  </si>
  <si>
    <t>Input Table:</t>
  </si>
  <si>
    <t>Output Table:</t>
  </si>
  <si>
    <t>' Export data from hysys to excel</t>
  </si>
  <si>
    <t>Annexure_3_output_table</t>
  </si>
  <si>
    <t>Dim Compositions As Variant</t>
  </si>
  <si>
    <t xml:space="preserve">     </t>
  </si>
  <si>
    <t>' Temperature</t>
  </si>
  <si>
    <t>' Flow</t>
  </si>
  <si>
    <t>you have opened relevant hysys file.</t>
  </si>
  <si>
    <t>1. This program shall work only if you have HYSYS installed in your PC AND</t>
  </si>
  <si>
    <t>Hysys file path:</t>
  </si>
  <si>
    <t>GAS COOLER</t>
  </si>
  <si>
    <t>PF_IN (process fluid in)</t>
  </si>
  <si>
    <t>oC</t>
  </si>
  <si>
    <t>kg/cm2g</t>
  </si>
  <si>
    <t>CW_IN (cooling water in)</t>
  </si>
  <si>
    <t>Mass fraction (Ethane)</t>
  </si>
  <si>
    <t>Methane mass fraction</t>
  </si>
  <si>
    <t>Ethane mass fraction</t>
  </si>
  <si>
    <t>PF_IN</t>
  </si>
  <si>
    <t>Process fluid in</t>
  </si>
  <si>
    <t>PF_OUT</t>
  </si>
  <si>
    <t>Process fluid out</t>
  </si>
  <si>
    <t>CW_IN</t>
  </si>
  <si>
    <t>Cooling water in</t>
  </si>
  <si>
    <t>CW_OUT (cooling water out)</t>
  </si>
  <si>
    <t>PF_OUT (process fluid out)</t>
  </si>
  <si>
    <t>CW_OUT</t>
  </si>
  <si>
    <t>Cooling water out</t>
  </si>
  <si>
    <t>2. Do not add or delete rows/columns in Annexure_2_Input_table or Annexure_3_output_table.</t>
  </si>
  <si>
    <r>
      <t xml:space="preserve">3. Prepare a simple PFD for this system. Type the input data (highlighted in </t>
    </r>
    <r>
      <rPr>
        <b/>
        <sz val="11"/>
        <color rgb="FFFFFF00"/>
        <rFont val="Calibri"/>
        <family val="2"/>
        <scheme val="minor"/>
      </rPr>
      <t>YELLOW</t>
    </r>
    <r>
      <rPr>
        <sz val="11"/>
        <color theme="1"/>
        <rFont val="Calibri"/>
        <family val="2"/>
        <scheme val="minor"/>
      </rPr>
      <t>) as given in "Annexure_1_PFD".</t>
    </r>
  </si>
  <si>
    <t>4. Prepare a hysys file (preferably save it in the same folder and same file name as that of excel file).</t>
  </si>
  <si>
    <t>' "Below three lines shall be same in all cases".</t>
  </si>
  <si>
    <t>' "Taking reference from worksheet Annexure 1_PFD, prepare a hysys file Snapshot is saved in Annexure_5_hysys_snapshot in excel file".</t>
  </si>
  <si>
    <t>' "First define the streams (preferably all the strems in your hysys file"</t>
  </si>
  <si>
    <t>Public PF_IN   As ProcessStream</t>
  </si>
  <si>
    <t>Public PF_OUT   As ProcessStream</t>
  </si>
  <si>
    <t>Public CW_IN As ProcessStream</t>
  </si>
  <si>
    <t>Public CW_OUT   As ProcessStream</t>
  </si>
  <si>
    <t>Public Sub StartHYSYS()    ' "StartHYSYS is your MACRO name".</t>
  </si>
  <si>
    <t>' "Set all the streams dimensions".</t>
  </si>
  <si>
    <t>Dim PRESPF_IN  As Double, FLOWPF_IN As Double, TEMPPF_IN  As Double</t>
  </si>
  <si>
    <t>Dim PRESPF_OUT  As Double, FLOWPF_OUT  As Double, TEMPPF_OUT  As Double</t>
  </si>
  <si>
    <t>Dim PRESCW_IN  As Double, FLOWCW_IN As Double, TEMPCW_IN  As Double</t>
  </si>
  <si>
    <t>Dim PRESCW_OUT  As Double, FLOWCW_OUT  As Double, TEMPCW_OUT  As Double</t>
  </si>
  <si>
    <t>' "LOADING HYSYS SIMULATION FILE (This will open your hysys file as per path provided, if the hysys file is not open already)".</t>
  </si>
  <si>
    <t xml:space="preserve">        fileName = Worksheets("Annexure_2_Input_table").Range("B2")  ' "Make sure your hysys file path is correct".</t>
  </si>
  <si>
    <t>' "Set all the streams".</t>
  </si>
  <si>
    <t>' "Export data from excel (Annexure_1_PFD) to hysys file"</t>
  </si>
  <si>
    <t>' "Set compositions from excel (Annexure_1_PFD) to hysys file"</t>
  </si>
  <si>
    <t>' Mass fraction values of stream PF_IN is exported from excel to hysys.</t>
  </si>
  <si>
    <t>Compositions = PF_IN.ComponentMassFractionValue</t>
  </si>
  <si>
    <t>Compositions(0) = Worksheets("Annexure_2_Input_table").Range("G6").Value   ' "Make sure first component (Methane) mass fraction value is taken from correct box in excel (G6)"</t>
  </si>
  <si>
    <t>Compositions(1) = Worksheets("Annexure_2_Input_table").Range("H6").Value   ' "Make sure second component (Ethane) mass fraction value is taken from correct box in excel (H6)"</t>
  </si>
  <si>
    <t>PF_IN.ComponentMassFraction.Values = Compositions</t>
  </si>
  <si>
    <t>' "Set temp. from excel (Annexure_1_PFD) to hysys file"</t>
  </si>
  <si>
    <t>TEMPPF_IN = Worksheets("Annexure_2_Input_table").Range("D6").Value   ' "Make sure PF_IN input temperature is taken from correct box (D6)".</t>
  </si>
  <si>
    <t>PF_IN.Temperature.SetValue TEMPPF_IN, "C"                            ' "Temperature unit set is oC".</t>
  </si>
  <si>
    <t>TEMPPF_OUT = Worksheets("Annexure_2_Input_table").Range("D7").Value  ' "Make sure PF_OUT input temperature is taken from correct box (D7)".</t>
  </si>
  <si>
    <t>PF_OUT.Temperature.SetValue TEMPPF_OUT, "C"                           ' "Temperature unit set is oC".</t>
  </si>
  <si>
    <t>TEMPCW_IN = Worksheets("Annexure_2_Input_table").Range("D9").Value  ' "Make sure CW_IN input temperature is taken from correct box (D9)".</t>
  </si>
  <si>
    <t>CW_IN.Temperature.SetValue TEMPCW_IN, "C"                           ' "Temperature unit set is oC".</t>
  </si>
  <si>
    <t>TEMPCW_OUT = Worksheets("Annexure_2_Input_table").Range("D10").Value  ' "Make sure CW_OUT input temperature is taken from correct box (D10)".</t>
  </si>
  <si>
    <t>CW_OUT.Temperature.SetValue TEMPCW_OUT, "C"                           ' "Temperature unit set is oC".</t>
  </si>
  <si>
    <t>PRESPF_IN = Worksheets("Annexure_2_Input_table").Range("E6").Value    ' "Make sure PF_IN input pressure is taken from correct box (E6)".</t>
  </si>
  <si>
    <t>PF_IN.Pressure.SetValue PRESPF_IN, "kg/cm2_g"                           ' "Pressure unit set is kg/cm2_g".</t>
  </si>
  <si>
    <t>PRESPF_OUT = Worksheets("Annexure_2_Input_table").Range("E7").Value    ' "Make sure PF_OUT input pressure is taken from correct box (E7)".</t>
  </si>
  <si>
    <t>PF_OUT.Pressure.SetValue PRESPF_OUT, "kg/cm2_g"                          ' "Pressure unit set is kg/cm2_g".</t>
  </si>
  <si>
    <t>PRESCW_IN = Worksheets("Annexure_2_Input_table").Range("E9").Value    ' "Make sure CW_IN  input pressure is taken from correct box (E9)".</t>
  </si>
  <si>
    <t>CW_IN.Pressure.SetValue PRESCW_IN, "kg/cm2_g"                          ' "Pressure unit set is kg/cm2_g".</t>
  </si>
  <si>
    <t>PRESCW_OUT = Worksheets("Annexure_2_Input_table").Range("E10").Value    ' "Make sure CW_OUT input pressure is taken from correct box (E10)".</t>
  </si>
  <si>
    <t>CW_OUT.Pressure.SetValue PRESCW_OUT, "kg/cm2_g"                          ' "Pressure unit set is kg/cm2_g".</t>
  </si>
  <si>
    <t>FLOWPF_IN = Worksheets("Annexure_2_Input_table").Range("F6").Value    ' "Make sure PF_IN input flow is taken from correct box (F6)".</t>
  </si>
  <si>
    <t>PF_IN.MassFlow.SetValue FLOWPF_IN, "kg/h"                          ' "Mass flow unit set is kg/h".</t>
  </si>
  <si>
    <t>Worksheets("Annexure_3_output_table").Range("D6").Value = CW_IN.Temperature.GetValue("C") ' "Although it is an input parameter in this case, this code is provided, for use in some other program".</t>
  </si>
  <si>
    <t>Worksheets("Annexure_3_output_table").Range("F6").Value = CW_IN.MassFlow.GetValue("kg/h") ' "Hysys will calculate the mass flow rate and export it to excel file in "F6" box in Annexure_3_output_table worksheet".</t>
  </si>
  <si>
    <t>' Pressure</t>
  </si>
  <si>
    <t>Worksheets("Annexure_3_output_table").Range("E6").Value = CW_IN.Pressure.GetValue("kg/cm2_g") ' "Although it is an input parameter in this case, this code is provided, for use in some other program".</t>
  </si>
  <si>
    <t>6. Insert a rectangle from shapes. Type in it LinkToHysys (you may write any other text). Right click on the rectangle and Click of "Assign Macro", which is StartHYSYS in this case.</t>
  </si>
  <si>
    <r>
      <t xml:space="preserve">5. In this file, go to VIEW, click on "Macros", Click on "Create". Name the Macro as </t>
    </r>
    <r>
      <rPr>
        <i/>
        <sz val="11"/>
        <color theme="1"/>
        <rFont val="Calibri"/>
        <family val="2"/>
        <scheme val="minor"/>
      </rPr>
      <t>StartHYSYS</t>
    </r>
    <r>
      <rPr>
        <sz val="11"/>
        <color theme="1"/>
        <rFont val="Calibri"/>
        <family val="2"/>
        <scheme val="minor"/>
      </rPr>
      <t xml:space="preserve"> (you may choose any name you want). Copy VBA codes from Annexure_4_VBA_Code worksheet to the Macro file.</t>
    </r>
  </si>
  <si>
    <t>7. Click on "LinkToHYSYS" tab in "Annexure_2_Input_table" worksheet.</t>
  </si>
  <si>
    <t>8. Program shall open the hysys file (if license is available), receive values from "Annexure_2_Input_table" worksheet, run the hysys file and export hysys calculated values from hysys to excel sheet. The graphical representation of the results is shown in "Annexure_1_PFD" worsksheet.</t>
  </si>
  <si>
    <t>Introduction:</t>
  </si>
  <si>
    <t>There may be several methods to deal with below issue. I am only suggesting one of them.</t>
  </si>
  <si>
    <t>8. Make sure "Hysys 7.3 type Library" is cheked in VIEW/Macros/Tools/References.</t>
  </si>
  <si>
    <t>Public pStream As ProcessStream</t>
  </si>
  <si>
    <t>Set PF_IN = simCase.Flowsheet.MaterialStreams.item("PF_IN")</t>
  </si>
  <si>
    <t>Set PF_OUT = simCase.Flowsheet.MaterialStreams.item("PF_OUT")</t>
  </si>
  <si>
    <t>Set CW_IN = simCase.Flowsheet.MaterialStreams.item("CW_IN")</t>
  </si>
  <si>
    <t>Set CW_OUT = simCase.Flowsheet.MaterialStreams.item("CW_OUT")</t>
  </si>
  <si>
    <t>' Mass fraction</t>
  </si>
  <si>
    <t>kg/m3</t>
  </si>
  <si>
    <t>Mass density, kg/m3</t>
  </si>
  <si>
    <t>Viscosity, cP</t>
  </si>
  <si>
    <t>Set pStream = simCase.Flowsheet.MaterialStreams.item("PF_OUT")</t>
  </si>
  <si>
    <t>Worksheets("Annexure_3_output_table").Range("J" &amp; 7).Value = pStream.ComponentMassFraction(0)</t>
  </si>
  <si>
    <t>Worksheets("Annexure_3_output_table").Range("K" &amp; 7).Value = pStream.ComponentMassFraction(1)</t>
  </si>
  <si>
    <t xml:space="preserve">  </t>
  </si>
  <si>
    <t xml:space="preserve">  ' Mass density</t>
  </si>
  <si>
    <t>Worksheets("Annexure_3_output_table").Range("L7").Value = PF_OUT.MassDensity.GetValue("kg/m3") ' "Hysys will calculate the mass density and export it to excel file in "L6" box in Annexure_3_output_table worksheet".</t>
  </si>
  <si>
    <t xml:space="preserve"> ' Viscosity</t>
  </si>
  <si>
    <t>Worksheets("Annexure_3_output_table").Range("M7").Value = PF_OUT.Viscosity.GetValue("cP") ' "Hysys will calculate the mass density and export it to excel file in "L6" box in Annexure_3_output_table worksheet".</t>
  </si>
  <si>
    <t>End Sub</t>
  </si>
  <si>
    <t xml:space="preserve">The purpose of this exercise is to simulate a gas cooler in hysys using VBA codes. Gas cooler shell side fluid is a mix. of Methane and Ethane of known mass fraction, temperature, pressure and mass flow rate. Outlet temperature and pressure are also known. Cooling water is provided as tube side fluid with known temperature and pressure. Also outlet water pressure is known. 
Refer Annexure 1_PFD. This sheet is a graphical representation of the given system.        
All the input parameters are to be typed in this sheet (in YELLOW boxes). GREEN boxes are for hysys calculated values (cooling water flow rate).
Refer Annexure 2_Input table. VBA program takes all the input parameters from this sheet.         There is no need to type anything in this sheet, as all the values are linked from Annexure_1_PFD.
Refer Annexure 3_output_table. This sheet receives the hysys calculated values. In this case, mass flow rate of cooling water, process outlet stream mass fraction, density, viscosity calculated  by hysys are reported to this sheet by VBA codes. These values are linked to Annexure_1_PFD.
Refer Annexure 4_VBA_Code. Hysys model for this system is prepared. VBA code has been written so that hysys takes the data from Annexure 2_Input table and provides calculated values in the Annexure_3_output_table.        
</t>
  </si>
  <si>
    <t>C:\Documents and Settings\Desktop\Case_A_EXCEL.hsc</t>
  </si>
  <si>
    <t>Prepared by:</t>
  </si>
  <si>
    <t>Ajay S. Satpute</t>
  </si>
  <si>
    <t>Sr. Process Engineer</t>
  </si>
  <si>
    <t>Ramboll Oil &amp; Gas, Qatar</t>
  </si>
</sst>
</file>

<file path=xl/styles.xml><?xml version="1.0" encoding="utf-8"?>
<styleSheet xmlns="http://schemas.openxmlformats.org/spreadsheetml/2006/main">
  <numFmts count="5">
    <numFmt numFmtId="43" formatCode="_(* #,##0.00_);_(* \(#,##0.00\);_(* &quot;-&quot;??_);_(@_)"/>
    <numFmt numFmtId="164" formatCode="0.0"/>
    <numFmt numFmtId="165" formatCode="_(* #,##0.0_);_(* \(#,##0.0\);_(* &quot;-&quot;??_);_(@_)"/>
    <numFmt numFmtId="166" formatCode="_(* #,##0_);_(* \(#,##0\);_(* &quot;-&quot;??_);_(@_)"/>
    <numFmt numFmtId="167" formatCode="0.000"/>
  </numFmts>
  <fonts count="48">
    <font>
      <sz val="11"/>
      <color theme="1"/>
      <name val="Calibri"/>
      <family val="2"/>
      <scheme val="minor"/>
    </font>
    <font>
      <b/>
      <sz val="11"/>
      <color theme="1"/>
      <name val="Calibri"/>
      <family val="2"/>
      <scheme val="minor"/>
    </font>
    <font>
      <b/>
      <sz val="8"/>
      <color indexed="81"/>
      <name val="Tahoma"/>
      <family val="2"/>
    </font>
    <font>
      <sz val="11"/>
      <color rgb="FFFF0000"/>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sz val="10"/>
      <name val="MS Sans Serif"/>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u/>
      <sz val="11"/>
      <color theme="1"/>
      <name val="Calibri"/>
      <family val="2"/>
      <scheme val="minor"/>
    </font>
    <font>
      <b/>
      <vertAlign val="superscript"/>
      <sz val="11"/>
      <color theme="1"/>
      <name val="Calibri"/>
      <family val="2"/>
      <scheme val="minor"/>
    </font>
    <font>
      <i/>
      <sz val="8"/>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1"/>
      <color rgb="FFFFFF00"/>
      <name val="Calibri"/>
      <family val="2"/>
      <scheme val="minor"/>
    </font>
    <font>
      <b/>
      <sz val="8"/>
      <color theme="1"/>
      <name val="Calibri"/>
      <family val="2"/>
      <scheme val="minor"/>
    </font>
    <font>
      <strike/>
      <sz val="11"/>
      <color theme="1"/>
      <name val="Calibri"/>
      <family val="2"/>
      <scheme val="minor"/>
    </font>
    <font>
      <b/>
      <sz val="16"/>
      <color theme="1"/>
      <name val="Calibri"/>
      <family val="2"/>
      <scheme val="minor"/>
    </font>
    <font>
      <i/>
      <sz val="11"/>
      <color theme="1"/>
      <name val="Calibri"/>
      <family val="2"/>
      <scheme val="minor"/>
    </font>
  </fonts>
  <fills count="62">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7"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00B05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s>
  <cellStyleXfs count="94">
    <xf numFmtId="0" fontId="0" fillId="0" borderId="0"/>
    <xf numFmtId="43" fontId="4" fillId="0" borderId="0" applyFont="0" applyFill="0" applyBorder="0" applyAlignment="0" applyProtection="0"/>
    <xf numFmtId="0" fontId="5" fillId="0" borderId="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7" fillId="14"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21" borderId="0" applyNumberFormat="0" applyBorder="0" applyAlignment="0" applyProtection="0"/>
    <xf numFmtId="0" fontId="8" fillId="5" borderId="0" applyNumberFormat="0" applyBorder="0" applyAlignment="0" applyProtection="0"/>
    <xf numFmtId="0" fontId="9" fillId="22" borderId="3" applyNumberFormat="0" applyAlignment="0" applyProtection="0"/>
    <xf numFmtId="0" fontId="10" fillId="23" borderId="4" applyNumberFormat="0" applyAlignment="0" applyProtection="0"/>
    <xf numFmtId="43" fontId="5" fillId="0" borderId="0" applyFont="0" applyFill="0" applyBorder="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0" applyNumberFormat="0" applyFill="0" applyBorder="0" applyAlignment="0" applyProtection="0">
      <alignment vertical="top"/>
      <protection locked="0"/>
    </xf>
    <xf numFmtId="0" fontId="17" fillId="9" borderId="3" applyNumberFormat="0" applyAlignment="0" applyProtection="0"/>
    <xf numFmtId="0" fontId="18" fillId="0" borderId="8" applyNumberFormat="0" applyFill="0" applyAlignment="0" applyProtection="0"/>
    <xf numFmtId="0" fontId="19" fillId="2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20" fillId="25" borderId="9" applyNumberFormat="0" applyFont="0" applyAlignment="0" applyProtection="0"/>
    <xf numFmtId="0" fontId="21" fillId="22" borderId="10" applyNumberFormat="0" applyAlignment="0" applyProtection="0"/>
    <xf numFmtId="9" fontId="5" fillId="0" borderId="0" applyFont="0" applyFill="0" applyBorder="0" applyAlignment="0" applyProtection="0"/>
    <xf numFmtId="0" fontId="22" fillId="0" borderId="0" applyNumberFormat="0" applyFill="0" applyBorder="0" applyAlignment="0" applyProtection="0"/>
    <xf numFmtId="0" fontId="23" fillId="0" borderId="11" applyNumberFormat="0" applyFill="0" applyAlignment="0" applyProtection="0"/>
    <xf numFmtId="0" fontId="24" fillId="0" borderId="0" applyNumberFormat="0" applyFill="0" applyBorder="0" applyAlignment="0" applyProtection="0"/>
    <xf numFmtId="0" fontId="28" fillId="0" borderId="0" applyNumberFormat="0" applyFill="0" applyBorder="0" applyAlignment="0" applyProtection="0"/>
    <xf numFmtId="0" fontId="29" fillId="0" borderId="12" applyNumberFormat="0" applyFill="0" applyAlignment="0" applyProtection="0"/>
    <xf numFmtId="0" fontId="30" fillId="0" borderId="13" applyNumberFormat="0" applyFill="0" applyAlignment="0" applyProtection="0"/>
    <xf numFmtId="0" fontId="31" fillId="0" borderId="14" applyNumberFormat="0" applyFill="0" applyAlignment="0" applyProtection="0"/>
    <xf numFmtId="0" fontId="31" fillId="0" borderId="0" applyNumberFormat="0" applyFill="0" applyBorder="0" applyAlignment="0" applyProtection="0"/>
    <xf numFmtId="0" fontId="32" fillId="29" borderId="0" applyNumberFormat="0" applyBorder="0" applyAlignment="0" applyProtection="0"/>
    <xf numFmtId="0" fontId="33" fillId="30" borderId="0" applyNumberFormat="0" applyBorder="0" applyAlignment="0" applyProtection="0"/>
    <xf numFmtId="0" fontId="34" fillId="31" borderId="0" applyNumberFormat="0" applyBorder="0" applyAlignment="0" applyProtection="0"/>
    <xf numFmtId="0" fontId="35" fillId="32" borderId="15" applyNumberFormat="0" applyAlignment="0" applyProtection="0"/>
    <xf numFmtId="0" fontId="36" fillId="33" borderId="16" applyNumberFormat="0" applyAlignment="0" applyProtection="0"/>
    <xf numFmtId="0" fontId="37" fillId="33" borderId="15" applyNumberFormat="0" applyAlignment="0" applyProtection="0"/>
    <xf numFmtId="0" fontId="38" fillId="0" borderId="17" applyNumberFormat="0" applyFill="0" applyAlignment="0" applyProtection="0"/>
    <xf numFmtId="0" fontId="39" fillId="34" borderId="18" applyNumberFormat="0" applyAlignment="0" applyProtection="0"/>
    <xf numFmtId="0" fontId="3" fillId="0" borderId="0" applyNumberFormat="0" applyFill="0" applyBorder="0" applyAlignment="0" applyProtection="0"/>
    <xf numFmtId="0" fontId="4" fillId="35" borderId="19" applyNumberFormat="0" applyFont="0" applyAlignment="0" applyProtection="0"/>
    <xf numFmtId="0" fontId="40" fillId="0" borderId="0" applyNumberFormat="0" applyFill="0" applyBorder="0" applyAlignment="0" applyProtection="0"/>
    <xf numFmtId="0" fontId="1" fillId="0" borderId="20" applyNumberFormat="0" applyFill="0" applyAlignment="0" applyProtection="0"/>
    <xf numFmtId="0" fontId="41"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1" fillId="39" borderId="0" applyNumberFormat="0" applyBorder="0" applyAlignment="0" applyProtection="0"/>
    <xf numFmtId="0" fontId="41" fillId="40" borderId="0" applyNumberFormat="0" applyBorder="0" applyAlignment="0" applyProtection="0"/>
    <xf numFmtId="0" fontId="4" fillId="41" borderId="0" applyNumberFormat="0" applyBorder="0" applyAlignment="0" applyProtection="0"/>
    <xf numFmtId="0" fontId="4" fillId="42" borderId="0" applyNumberFormat="0" applyBorder="0" applyAlignment="0" applyProtection="0"/>
    <xf numFmtId="0" fontId="41" fillId="43" borderId="0" applyNumberFormat="0" applyBorder="0" applyAlignment="0" applyProtection="0"/>
    <xf numFmtId="0" fontId="41" fillId="44" borderId="0" applyNumberFormat="0" applyBorder="0" applyAlignment="0" applyProtection="0"/>
    <xf numFmtId="0" fontId="4" fillId="45" borderId="0" applyNumberFormat="0" applyBorder="0" applyAlignment="0" applyProtection="0"/>
    <xf numFmtId="0" fontId="4" fillId="46" borderId="0" applyNumberFormat="0" applyBorder="0" applyAlignment="0" applyProtection="0"/>
    <xf numFmtId="0" fontId="41" fillId="47" borderId="0" applyNumberFormat="0" applyBorder="0" applyAlignment="0" applyProtection="0"/>
    <xf numFmtId="0" fontId="41" fillId="48" borderId="0" applyNumberFormat="0" applyBorder="0" applyAlignment="0" applyProtection="0"/>
    <xf numFmtId="0" fontId="4" fillId="49" borderId="0" applyNumberFormat="0" applyBorder="0" applyAlignment="0" applyProtection="0"/>
    <xf numFmtId="0" fontId="4" fillId="50" borderId="0" applyNumberFormat="0" applyBorder="0" applyAlignment="0" applyProtection="0"/>
    <xf numFmtId="0" fontId="41" fillId="51" borderId="0" applyNumberFormat="0" applyBorder="0" applyAlignment="0" applyProtection="0"/>
    <xf numFmtId="0" fontId="41" fillId="52" borderId="0" applyNumberFormat="0" applyBorder="0" applyAlignment="0" applyProtection="0"/>
    <xf numFmtId="0" fontId="4" fillId="53" borderId="0" applyNumberFormat="0" applyBorder="0" applyAlignment="0" applyProtection="0"/>
    <xf numFmtId="0" fontId="4" fillId="54" borderId="0" applyNumberFormat="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1" fillId="59" borderId="0" applyNumberFormat="0" applyBorder="0" applyAlignment="0" applyProtection="0"/>
  </cellStyleXfs>
  <cellXfs count="104">
    <xf numFmtId="0" fontId="0" fillId="0" borderId="0" xfId="0"/>
    <xf numFmtId="0" fontId="0" fillId="0" borderId="0" xfId="0" applyFill="1"/>
    <xf numFmtId="0" fontId="1" fillId="0" borderId="1" xfId="0" applyFont="1" applyFill="1" applyBorder="1" applyAlignment="1">
      <alignment horizontal="left"/>
    </xf>
    <xf numFmtId="165" fontId="0" fillId="0" borderId="0" xfId="1" applyNumberFormat="1" applyFont="1" applyFill="1" applyAlignment="1">
      <alignment horizontal="center" vertical="center"/>
    </xf>
    <xf numFmtId="0" fontId="0" fillId="0" borderId="0" xfId="0" applyFill="1" applyAlignment="1">
      <alignment horizontal="center" vertical="center"/>
    </xf>
    <xf numFmtId="164" fontId="0" fillId="0" borderId="1" xfId="0" applyNumberFormat="1" applyFill="1" applyBorder="1" applyAlignment="1">
      <alignment horizontal="center" vertical="center"/>
    </xf>
    <xf numFmtId="0" fontId="1" fillId="26" borderId="1" xfId="0" applyFont="1" applyFill="1" applyBorder="1" applyAlignment="1">
      <alignment horizontal="center" vertical="center"/>
    </xf>
    <xf numFmtId="0" fontId="0" fillId="26" borderId="1" xfId="0" applyFont="1" applyFill="1" applyBorder="1" applyAlignment="1">
      <alignment horizontal="center" vertical="center"/>
    </xf>
    <xf numFmtId="0" fontId="0" fillId="0" borderId="0" xfId="0" applyAlignment="1">
      <alignment horizontal="left" vertical="center"/>
    </xf>
    <xf numFmtId="164" fontId="1" fillId="27" borderId="1" xfId="0" applyNumberFormat="1" applyFont="1" applyFill="1" applyBorder="1" applyAlignment="1">
      <alignment horizontal="center" vertical="center"/>
    </xf>
    <xf numFmtId="166" fontId="1" fillId="28" borderId="1" xfId="1" applyNumberFormat="1" applyFont="1" applyFill="1" applyBorder="1" applyAlignment="1">
      <alignment horizontal="center" vertical="center"/>
    </xf>
    <xf numFmtId="164" fontId="1" fillId="3" borderId="1" xfId="0" applyNumberFormat="1" applyFont="1" applyFill="1" applyBorder="1" applyAlignment="1">
      <alignment horizontal="center" vertical="center"/>
    </xf>
    <xf numFmtId="0" fontId="0" fillId="0" borderId="0" xfId="0" applyAlignment="1">
      <alignment horizontal="left" vertical="top" wrapText="1"/>
    </xf>
    <xf numFmtId="0" fontId="0" fillId="0" borderId="0" xfId="0"/>
    <xf numFmtId="0" fontId="0" fillId="0" borderId="0" xfId="0"/>
    <xf numFmtId="0" fontId="0" fillId="0" borderId="1" xfId="0" applyFill="1" applyBorder="1" applyAlignment="1">
      <alignment horizontal="left"/>
    </xf>
    <xf numFmtId="164" fontId="0" fillId="0" borderId="22" xfId="0" applyNumberFormat="1" applyBorder="1"/>
    <xf numFmtId="164" fontId="0" fillId="0" borderId="23" xfId="0" applyNumberFormat="1" applyBorder="1"/>
    <xf numFmtId="1" fontId="1" fillId="0" borderId="23" xfId="0" applyNumberFormat="1" applyFont="1" applyBorder="1"/>
    <xf numFmtId="0" fontId="42" fillId="0" borderId="1" xfId="0" applyFont="1" applyFill="1" applyBorder="1" applyAlignment="1">
      <alignment horizontal="left"/>
    </xf>
    <xf numFmtId="164" fontId="42" fillId="0" borderId="1" xfId="0" applyNumberFormat="1" applyFont="1" applyFill="1" applyBorder="1" applyAlignment="1">
      <alignment horizontal="center" vertical="center"/>
    </xf>
    <xf numFmtId="167" fontId="0" fillId="0" borderId="1" xfId="0" applyNumberFormat="1" applyFill="1" applyBorder="1" applyAlignment="1">
      <alignment horizontal="left"/>
    </xf>
    <xf numFmtId="0" fontId="0" fillId="0" borderId="23" xfId="0" applyBorder="1"/>
    <xf numFmtId="0" fontId="0" fillId="0" borderId="24" xfId="0" applyBorder="1"/>
    <xf numFmtId="0" fontId="45" fillId="0" borderId="1" xfId="0" applyFont="1" applyFill="1" applyBorder="1" applyAlignment="1">
      <alignment horizontal="left"/>
    </xf>
    <xf numFmtId="164" fontId="45" fillId="0" borderId="1" xfId="0" applyNumberFormat="1" applyFont="1" applyFill="1" applyBorder="1" applyAlignment="1">
      <alignment horizontal="center" vertical="center"/>
    </xf>
    <xf numFmtId="0" fontId="0" fillId="0" borderId="1" xfId="0" applyFont="1" applyFill="1" applyBorder="1" applyAlignment="1">
      <alignment horizontal="left"/>
    </xf>
    <xf numFmtId="164" fontId="0" fillId="61" borderId="1" xfId="0" applyNumberFormat="1" applyFill="1" applyBorder="1" applyAlignment="1">
      <alignment horizontal="center" vertical="center"/>
    </xf>
    <xf numFmtId="0" fontId="25" fillId="0" borderId="22" xfId="0" applyFont="1" applyBorder="1" applyAlignment="1">
      <alignment horizontal="left" vertical="center"/>
    </xf>
    <xf numFmtId="0" fontId="0" fillId="0" borderId="23" xfId="0" applyBorder="1" applyAlignment="1">
      <alignment horizontal="left" vertical="center"/>
    </xf>
    <xf numFmtId="0" fontId="0" fillId="0" borderId="24" xfId="0" applyBorder="1" applyAlignment="1">
      <alignment horizontal="left" vertical="center"/>
    </xf>
    <xf numFmtId="0" fontId="0" fillId="0" borderId="28" xfId="0" applyBorder="1" applyAlignment="1">
      <alignment horizontal="left" vertical="center"/>
    </xf>
    <xf numFmtId="0" fontId="0" fillId="0" borderId="0" xfId="0" applyBorder="1" applyAlignment="1">
      <alignment horizontal="left" vertical="center"/>
    </xf>
    <xf numFmtId="0" fontId="0" fillId="0" borderId="29" xfId="0" applyBorder="1" applyAlignment="1">
      <alignment horizontal="left" vertical="center"/>
    </xf>
    <xf numFmtId="0" fontId="25" fillId="0" borderId="33" xfId="0" applyFont="1" applyBorder="1"/>
    <xf numFmtId="0" fontId="0" fillId="0" borderId="34" xfId="0" applyBorder="1"/>
    <xf numFmtId="164" fontId="25" fillId="0" borderId="22" xfId="0" applyNumberFormat="1" applyFont="1" applyBorder="1"/>
    <xf numFmtId="164" fontId="25" fillId="0" borderId="23" xfId="0" applyNumberFormat="1" applyFont="1" applyBorder="1"/>
    <xf numFmtId="0" fontId="0" fillId="0" borderId="28" xfId="0" applyBorder="1"/>
    <xf numFmtId="0" fontId="0" fillId="0" borderId="0" xfId="0" applyBorder="1"/>
    <xf numFmtId="0" fontId="0" fillId="0" borderId="29" xfId="0" applyBorder="1"/>
    <xf numFmtId="0" fontId="1" fillId="0" borderId="0" xfId="0" applyFont="1" applyBorder="1"/>
    <xf numFmtId="0" fontId="0" fillId="2" borderId="0" xfId="0" applyFill="1" applyBorder="1"/>
    <xf numFmtId="0" fontId="1" fillId="0" borderId="28" xfId="0" applyFont="1" applyBorder="1"/>
    <xf numFmtId="0" fontId="0" fillId="2" borderId="28" xfId="0" applyFill="1" applyBorder="1"/>
    <xf numFmtId="1" fontId="0" fillId="61" borderId="28" xfId="0" applyNumberFormat="1" applyFill="1" applyBorder="1"/>
    <xf numFmtId="0" fontId="0" fillId="0" borderId="30" xfId="0" applyBorder="1"/>
    <xf numFmtId="0" fontId="0" fillId="0" borderId="31" xfId="0" applyBorder="1"/>
    <xf numFmtId="0" fontId="0" fillId="0" borderId="32" xfId="0" applyBorder="1"/>
    <xf numFmtId="0" fontId="25" fillId="0" borderId="22" xfId="0" applyFont="1" applyFill="1" applyBorder="1" applyAlignment="1">
      <alignment vertical="center"/>
    </xf>
    <xf numFmtId="0" fontId="0" fillId="0" borderId="23" xfId="0" applyFill="1" applyBorder="1"/>
    <xf numFmtId="0" fontId="0" fillId="0" borderId="23" xfId="0" applyFill="1" applyBorder="1" applyAlignment="1">
      <alignment horizontal="center" vertical="center"/>
    </xf>
    <xf numFmtId="165" fontId="0" fillId="0" borderId="23" xfId="1" applyNumberFormat="1" applyFont="1" applyFill="1" applyBorder="1" applyAlignment="1">
      <alignment horizontal="center" vertical="center"/>
    </xf>
    <xf numFmtId="165" fontId="0" fillId="0" borderId="24" xfId="1" applyNumberFormat="1" applyFont="1" applyFill="1" applyBorder="1" applyAlignment="1">
      <alignment horizontal="center" vertical="center"/>
    </xf>
    <xf numFmtId="0" fontId="1" fillId="2" borderId="35" xfId="0" applyFont="1" applyFill="1" applyBorder="1" applyAlignment="1">
      <alignment horizontal="left" vertical="center"/>
    </xf>
    <xf numFmtId="0" fontId="1" fillId="0" borderId="35" xfId="0" applyFont="1" applyFill="1" applyBorder="1" applyAlignment="1">
      <alignment horizontal="left"/>
    </xf>
    <xf numFmtId="0" fontId="0" fillId="0" borderId="35" xfId="0" applyFill="1" applyBorder="1" applyAlignment="1">
      <alignment horizontal="left"/>
    </xf>
    <xf numFmtId="0" fontId="0" fillId="0" borderId="35" xfId="0" applyFill="1" applyBorder="1" applyAlignment="1">
      <alignment horizontal="left" wrapText="1"/>
    </xf>
    <xf numFmtId="0" fontId="0" fillId="0" borderId="40" xfId="0" applyFill="1" applyBorder="1" applyAlignment="1">
      <alignment horizontal="left"/>
    </xf>
    <xf numFmtId="0" fontId="0" fillId="0" borderId="37" xfId="0" applyFill="1" applyBorder="1" applyAlignment="1">
      <alignment horizontal="left" wrapText="1"/>
    </xf>
    <xf numFmtId="167" fontId="0" fillId="0" borderId="40" xfId="0" applyNumberFormat="1" applyFill="1" applyBorder="1" applyAlignment="1">
      <alignment horizontal="left"/>
    </xf>
    <xf numFmtId="0" fontId="0" fillId="0" borderId="41" xfId="0" applyFill="1" applyBorder="1" applyAlignment="1">
      <alignment horizontal="left" wrapText="1"/>
    </xf>
    <xf numFmtId="0" fontId="0" fillId="0" borderId="42" xfId="0" applyFill="1" applyBorder="1" applyAlignment="1">
      <alignment horizontal="left"/>
    </xf>
    <xf numFmtId="167" fontId="0" fillId="0" borderId="42" xfId="0" applyNumberFormat="1" applyFill="1" applyBorder="1" applyAlignment="1">
      <alignment horizontal="left"/>
    </xf>
    <xf numFmtId="167" fontId="0" fillId="0" borderId="43" xfId="0" applyNumberFormat="1" applyFill="1" applyBorder="1" applyAlignment="1">
      <alignment horizontal="left"/>
    </xf>
    <xf numFmtId="0" fontId="0" fillId="0" borderId="28" xfId="0" applyFill="1" applyBorder="1"/>
    <xf numFmtId="0" fontId="42" fillId="0" borderId="42" xfId="0" applyFont="1" applyFill="1" applyBorder="1" applyAlignment="1">
      <alignment horizontal="left"/>
    </xf>
    <xf numFmtId="164" fontId="42" fillId="0" borderId="42" xfId="0" applyNumberFormat="1" applyFont="1" applyFill="1" applyBorder="1" applyAlignment="1">
      <alignment horizontal="center" vertical="center"/>
    </xf>
    <xf numFmtId="164" fontId="0" fillId="0" borderId="42" xfId="0" applyNumberFormat="1" applyFill="1" applyBorder="1" applyAlignment="1">
      <alignment horizontal="center" vertical="center"/>
    </xf>
    <xf numFmtId="0" fontId="0" fillId="0" borderId="45" xfId="0" applyBorder="1"/>
    <xf numFmtId="0" fontId="0" fillId="0" borderId="22" xfId="0" applyBorder="1"/>
    <xf numFmtId="0" fontId="0" fillId="60" borderId="34" xfId="0" applyFill="1" applyBorder="1" applyAlignment="1">
      <alignment horizontal="left" vertical="top" wrapText="1"/>
    </xf>
    <xf numFmtId="0" fontId="1" fillId="60" borderId="34" xfId="0" applyFont="1" applyFill="1" applyBorder="1" applyAlignment="1">
      <alignment horizontal="left" vertical="top" wrapText="1"/>
    </xf>
    <xf numFmtId="0" fontId="0" fillId="60" borderId="45" xfId="0" applyFill="1" applyBorder="1" applyAlignment="1">
      <alignment horizontal="left" vertical="top" wrapText="1"/>
    </xf>
    <xf numFmtId="0" fontId="0" fillId="0" borderId="24" xfId="0" applyFill="1" applyBorder="1"/>
    <xf numFmtId="0" fontId="0" fillId="0" borderId="0" xfId="0" applyFill="1" applyBorder="1"/>
    <xf numFmtId="0" fontId="0" fillId="0" borderId="29" xfId="0" applyFill="1" applyBorder="1"/>
    <xf numFmtId="167" fontId="0" fillId="61" borderId="40" xfId="0" applyNumberFormat="1" applyFill="1" applyBorder="1" applyAlignment="1">
      <alignment horizontal="center" vertical="center"/>
    </xf>
    <xf numFmtId="0" fontId="45" fillId="0" borderId="35" xfId="0" applyFont="1" applyFill="1" applyBorder="1" applyAlignment="1">
      <alignment horizontal="left" wrapText="1"/>
    </xf>
    <xf numFmtId="0" fontId="42" fillId="0" borderId="35" xfId="0" applyFont="1" applyFill="1" applyBorder="1" applyAlignment="1">
      <alignment horizontal="left" wrapText="1"/>
    </xf>
    <xf numFmtId="0" fontId="42" fillId="0" borderId="46" xfId="0" applyFont="1" applyFill="1" applyBorder="1" applyAlignment="1">
      <alignment horizontal="left" wrapText="1"/>
    </xf>
    <xf numFmtId="0" fontId="0" fillId="0" borderId="43" xfId="0" applyFill="1" applyBorder="1" applyAlignment="1">
      <alignment horizontal="left"/>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47" fillId="0" borderId="28" xfId="0" applyFont="1" applyBorder="1" applyAlignment="1">
      <alignment horizontal="left" vertical="center"/>
    </xf>
    <xf numFmtId="0" fontId="47" fillId="0" borderId="0" xfId="0" applyFont="1" applyBorder="1" applyAlignment="1">
      <alignment horizontal="left" vertical="center"/>
    </xf>
    <xf numFmtId="0" fontId="47" fillId="0" borderId="29" xfId="0" applyFont="1" applyBorder="1" applyAlignment="1">
      <alignment horizontal="left" vertical="center"/>
    </xf>
    <xf numFmtId="0" fontId="46" fillId="0" borderId="0" xfId="0" applyFont="1" applyBorder="1" applyAlignment="1">
      <alignment horizontal="center" vertical="center" wrapText="1"/>
    </xf>
    <xf numFmtId="0" fontId="1" fillId="60" borderId="37" xfId="0" applyFont="1" applyFill="1" applyBorder="1" applyAlignment="1">
      <alignment horizontal="left" vertical="center"/>
    </xf>
    <xf numFmtId="0" fontId="1" fillId="60" borderId="21" xfId="0" applyFont="1" applyFill="1" applyBorder="1" applyAlignment="1">
      <alignment horizontal="left" vertical="center"/>
    </xf>
    <xf numFmtId="0" fontId="1" fillId="60" borderId="36" xfId="0" applyFont="1" applyFill="1" applyBorder="1" applyAlignment="1">
      <alignment horizontal="left" vertical="center"/>
    </xf>
    <xf numFmtId="166" fontId="1" fillId="28" borderId="25" xfId="1" applyNumberFormat="1" applyFont="1" applyFill="1" applyBorder="1" applyAlignment="1">
      <alignment horizontal="center" vertical="center" wrapText="1"/>
    </xf>
    <xf numFmtId="166" fontId="1" fillId="28" borderId="26" xfId="1" applyNumberFormat="1" applyFont="1" applyFill="1" applyBorder="1" applyAlignment="1">
      <alignment horizontal="center" vertical="center" wrapText="1"/>
    </xf>
    <xf numFmtId="166" fontId="1" fillId="28" borderId="38" xfId="1" applyNumberFormat="1" applyFont="1" applyFill="1" applyBorder="1" applyAlignment="1">
      <alignment horizontal="center" vertical="center" wrapText="1"/>
    </xf>
    <xf numFmtId="166" fontId="1" fillId="28" borderId="39" xfId="1" applyNumberFormat="1" applyFont="1" applyFill="1" applyBorder="1" applyAlignment="1">
      <alignment horizontal="center" vertical="center" wrapText="1"/>
    </xf>
    <xf numFmtId="0" fontId="44" fillId="2" borderId="2" xfId="0" applyFont="1" applyFill="1" applyBorder="1" applyAlignment="1">
      <alignment horizontal="left" vertical="center" wrapText="1"/>
    </xf>
    <xf numFmtId="0" fontId="44" fillId="2" borderId="21" xfId="0" applyFont="1" applyFill="1" applyBorder="1" applyAlignment="1">
      <alignment horizontal="left" vertical="center" wrapText="1"/>
    </xf>
    <xf numFmtId="0" fontId="44" fillId="2" borderId="36" xfId="0" applyFont="1" applyFill="1" applyBorder="1" applyAlignment="1">
      <alignment horizontal="left" vertical="center" wrapText="1"/>
    </xf>
    <xf numFmtId="166" fontId="1" fillId="28" borderId="40" xfId="1" applyNumberFormat="1" applyFont="1" applyFill="1" applyBorder="1" applyAlignment="1">
      <alignment horizontal="center" vertical="center" wrapText="1"/>
    </xf>
    <xf numFmtId="0" fontId="27" fillId="0" borderId="27" xfId="0" applyFont="1" applyFill="1" applyBorder="1" applyAlignment="1">
      <alignment horizontal="left" vertical="top" wrapText="1"/>
    </xf>
    <xf numFmtId="0" fontId="27" fillId="0" borderId="44" xfId="0" applyFont="1" applyFill="1" applyBorder="1" applyAlignment="1">
      <alignment horizontal="left" vertical="top" wrapText="1"/>
    </xf>
    <xf numFmtId="166" fontId="1" fillId="28" borderId="1" xfId="1" applyNumberFormat="1" applyFont="1" applyFill="1" applyBorder="1" applyAlignment="1">
      <alignment horizontal="center" vertical="center" wrapText="1"/>
    </xf>
    <xf numFmtId="0" fontId="1" fillId="0" borderId="0" xfId="0" applyFont="1" applyAlignment="1">
      <alignment horizontal="left" vertical="center"/>
    </xf>
  </cellXfs>
  <cellStyles count="94">
    <cellStyle name="20% - Accent1" xfId="71" builtinId="30" customBuiltin="1"/>
    <cellStyle name="20% - Accent1 2" xfId="3"/>
    <cellStyle name="20% - Accent2" xfId="75" builtinId="34" customBuiltin="1"/>
    <cellStyle name="20% - Accent2 2" xfId="4"/>
    <cellStyle name="20% - Accent3" xfId="79" builtinId="38" customBuiltin="1"/>
    <cellStyle name="20% - Accent3 2" xfId="5"/>
    <cellStyle name="20% - Accent4" xfId="83" builtinId="42" customBuiltin="1"/>
    <cellStyle name="20% - Accent4 2" xfId="6"/>
    <cellStyle name="20% - Accent5" xfId="87" builtinId="46" customBuiltin="1"/>
    <cellStyle name="20% - Accent5 2" xfId="7"/>
    <cellStyle name="20% - Accent6" xfId="91" builtinId="50" customBuiltin="1"/>
    <cellStyle name="20% - Accent6 2" xfId="8"/>
    <cellStyle name="40% - Accent1" xfId="72" builtinId="31" customBuiltin="1"/>
    <cellStyle name="40% - Accent1 2" xfId="9"/>
    <cellStyle name="40% - Accent2" xfId="76" builtinId="35" customBuiltin="1"/>
    <cellStyle name="40% - Accent2 2" xfId="10"/>
    <cellStyle name="40% - Accent3" xfId="80" builtinId="39" customBuiltin="1"/>
    <cellStyle name="40% - Accent3 2" xfId="11"/>
    <cellStyle name="40% - Accent4" xfId="84" builtinId="43" customBuiltin="1"/>
    <cellStyle name="40% - Accent4 2" xfId="12"/>
    <cellStyle name="40% - Accent5" xfId="88" builtinId="47" customBuiltin="1"/>
    <cellStyle name="40% - Accent5 2" xfId="13"/>
    <cellStyle name="40% - Accent6" xfId="92" builtinId="51" customBuiltin="1"/>
    <cellStyle name="40% - Accent6 2" xfId="14"/>
    <cellStyle name="60% - Accent1" xfId="73" builtinId="32" customBuiltin="1"/>
    <cellStyle name="60% - Accent1 2" xfId="15"/>
    <cellStyle name="60% - Accent2" xfId="77" builtinId="36" customBuiltin="1"/>
    <cellStyle name="60% - Accent2 2" xfId="16"/>
    <cellStyle name="60% - Accent3" xfId="81" builtinId="40" customBuiltin="1"/>
    <cellStyle name="60% - Accent3 2" xfId="17"/>
    <cellStyle name="60% - Accent4" xfId="85" builtinId="44" customBuiltin="1"/>
    <cellStyle name="60% - Accent4 2" xfId="18"/>
    <cellStyle name="60% - Accent5" xfId="89" builtinId="48" customBuiltin="1"/>
    <cellStyle name="60% - Accent5 2" xfId="19"/>
    <cellStyle name="60% - Accent6" xfId="93" builtinId="52" customBuiltin="1"/>
    <cellStyle name="60% - Accent6 2" xfId="20"/>
    <cellStyle name="Accent1" xfId="70" builtinId="29" customBuiltin="1"/>
    <cellStyle name="Accent1 2" xfId="21"/>
    <cellStyle name="Accent2" xfId="74" builtinId="33" customBuiltin="1"/>
    <cellStyle name="Accent2 2" xfId="22"/>
    <cellStyle name="Accent3" xfId="78" builtinId="37" customBuiltin="1"/>
    <cellStyle name="Accent3 2" xfId="23"/>
    <cellStyle name="Accent4" xfId="82" builtinId="41" customBuiltin="1"/>
    <cellStyle name="Accent4 2" xfId="24"/>
    <cellStyle name="Accent5" xfId="86" builtinId="45" customBuiltin="1"/>
    <cellStyle name="Accent5 2" xfId="25"/>
    <cellStyle name="Accent6" xfId="90" builtinId="49" customBuiltin="1"/>
    <cellStyle name="Accent6 2" xfId="26"/>
    <cellStyle name="Bad" xfId="59" builtinId="27" customBuiltin="1"/>
    <cellStyle name="Bad 2" xfId="27"/>
    <cellStyle name="Calculation" xfId="63" builtinId="22" customBuiltin="1"/>
    <cellStyle name="Calculation 2" xfId="28"/>
    <cellStyle name="Check Cell" xfId="65" builtinId="23" customBuiltin="1"/>
    <cellStyle name="Check Cell 2" xfId="29"/>
    <cellStyle name="Comma" xfId="1" builtinId="3"/>
    <cellStyle name="Comma 2" xfId="30"/>
    <cellStyle name="Explanatory Text" xfId="68" builtinId="53" customBuiltin="1"/>
    <cellStyle name="Explanatory Text 2" xfId="31"/>
    <cellStyle name="Good" xfId="58" builtinId="26" customBuiltin="1"/>
    <cellStyle name="Good 2" xfId="32"/>
    <cellStyle name="Heading 1" xfId="54" builtinId="16" customBuiltin="1"/>
    <cellStyle name="Heading 1 2" xfId="33"/>
    <cellStyle name="Heading 2" xfId="55" builtinId="17" customBuiltin="1"/>
    <cellStyle name="Heading 2 2" xfId="34"/>
    <cellStyle name="Heading 3" xfId="56" builtinId="18" customBuiltin="1"/>
    <cellStyle name="Heading 3 2" xfId="35"/>
    <cellStyle name="Heading 4" xfId="57" builtinId="19" customBuiltin="1"/>
    <cellStyle name="Heading 4 2" xfId="36"/>
    <cellStyle name="Hyperlink 2" xfId="37"/>
    <cellStyle name="Input" xfId="61" builtinId="20" customBuiltin="1"/>
    <cellStyle name="Input 2" xfId="38"/>
    <cellStyle name="Linked Cell" xfId="64" builtinId="24" customBuiltin="1"/>
    <cellStyle name="Linked Cell 2" xfId="39"/>
    <cellStyle name="Neutral" xfId="60" builtinId="28" customBuiltin="1"/>
    <cellStyle name="Neutral 2" xfId="40"/>
    <cellStyle name="Normal" xfId="0" builtinId="0"/>
    <cellStyle name="Normal 2" xfId="2"/>
    <cellStyle name="Normal 2 2" xfId="41"/>
    <cellStyle name="Normal 2 3" xfId="42"/>
    <cellStyle name="Normal 2_Check TI Plant" xfId="43"/>
    <cellStyle name="Normal 3" xfId="44"/>
    <cellStyle name="Normal 4" xfId="45"/>
    <cellStyle name="Normal 5" xfId="46"/>
    <cellStyle name="Note" xfId="67" builtinId="10" customBuiltin="1"/>
    <cellStyle name="Note 2" xfId="47"/>
    <cellStyle name="Output" xfId="62" builtinId="21" customBuiltin="1"/>
    <cellStyle name="Output 2" xfId="48"/>
    <cellStyle name="Percent 2" xfId="49"/>
    <cellStyle name="Title" xfId="53" builtinId="15" customBuiltin="1"/>
    <cellStyle name="Title 2" xfId="50"/>
    <cellStyle name="Total" xfId="69" builtinId="25" customBuiltin="1"/>
    <cellStyle name="Total 2" xfId="51"/>
    <cellStyle name="Warning Text" xfId="66" builtinId="11" customBuiltin="1"/>
    <cellStyle name="Warning Text 2" xfId="52"/>
  </cellStyles>
  <dxfs count="0"/>
  <tableStyles count="0" defaultTableStyle="TableStyleMedium9" defaultPivotStyle="PivotStyleLight16"/>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68036</xdr:rowOff>
    </xdr:from>
    <xdr:to>
      <xdr:col>8</xdr:col>
      <xdr:colOff>0</xdr:colOff>
      <xdr:row>2</xdr:row>
      <xdr:rowOff>114300</xdr:rowOff>
    </xdr:to>
    <xdr:sp macro="[0]!StartHYSYS" textlink="">
      <xdr:nvSpPr>
        <xdr:cNvPr id="135" name="Rectangle 134"/>
        <xdr:cNvSpPr/>
      </xdr:nvSpPr>
      <xdr:spPr>
        <a:xfrm>
          <a:off x="2333625" y="268061"/>
          <a:ext cx="2524125" cy="236764"/>
        </a:xfrm>
        <a:prstGeom prst="rect">
          <a:avLst/>
        </a:prstGeom>
        <a:ln w="28575"/>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en-US" sz="1200" b="1"/>
            <a:t>LinkToHYSYS</a:t>
          </a:r>
        </a:p>
      </xdr:txBody>
    </xdr:sp>
    <xdr:clientData/>
  </xdr:twoCellAnchor>
  <xdr:twoCellAnchor>
    <xdr:from>
      <xdr:col>1</xdr:col>
      <xdr:colOff>108857</xdr:colOff>
      <xdr:row>8</xdr:row>
      <xdr:rowOff>163286</xdr:rowOff>
    </xdr:from>
    <xdr:to>
      <xdr:col>7</xdr:col>
      <xdr:colOff>285750</xdr:colOff>
      <xdr:row>23</xdr:row>
      <xdr:rowOff>40820</xdr:rowOff>
    </xdr:to>
    <xdr:grpSp>
      <xdr:nvGrpSpPr>
        <xdr:cNvPr id="22" name="Group 21"/>
        <xdr:cNvGrpSpPr/>
      </xdr:nvGrpSpPr>
      <xdr:grpSpPr>
        <a:xfrm>
          <a:off x="699407" y="1696811"/>
          <a:ext cx="3720193" cy="2735034"/>
          <a:chOff x="816428" y="1238250"/>
          <a:chExt cx="4239301" cy="2354034"/>
        </a:xfrm>
      </xdr:grpSpPr>
      <xdr:grpSp>
        <xdr:nvGrpSpPr>
          <xdr:cNvPr id="23" name="Group 16"/>
          <xdr:cNvGrpSpPr/>
        </xdr:nvGrpSpPr>
        <xdr:grpSpPr>
          <a:xfrm>
            <a:off x="816428" y="1238250"/>
            <a:ext cx="4239301" cy="2354034"/>
            <a:chOff x="816428" y="1524000"/>
            <a:chExt cx="3936488" cy="2068284"/>
          </a:xfrm>
        </xdr:grpSpPr>
        <xdr:sp macro="" textlink="">
          <xdr:nvSpPr>
            <xdr:cNvPr id="25" name="Oval 2"/>
            <xdr:cNvSpPr/>
          </xdr:nvSpPr>
          <xdr:spPr>
            <a:xfrm>
              <a:off x="2326820" y="2136321"/>
              <a:ext cx="1074964" cy="857250"/>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200"/>
                <a:t>GAS</a:t>
              </a:r>
              <a:r>
                <a:rPr lang="en-US" sz="1200" baseline="0"/>
                <a:t> </a:t>
              </a:r>
              <a:r>
                <a:rPr lang="en-US" sz="1200"/>
                <a:t>COOLER</a:t>
              </a:r>
            </a:p>
          </xdr:txBody>
        </xdr:sp>
        <xdr:cxnSp macro="">
          <xdr:nvCxnSpPr>
            <xdr:cNvPr id="26" name="Straight Arrow Connector 25"/>
            <xdr:cNvCxnSpPr/>
          </xdr:nvCxnSpPr>
          <xdr:spPr>
            <a:xfrm flipV="1">
              <a:off x="3431828" y="2560534"/>
              <a:ext cx="1321088" cy="4412"/>
            </a:xfrm>
            <a:prstGeom prst="straightConnector1">
              <a:avLst/>
            </a:prstGeom>
            <a:ln w="444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7" name="Straight Arrow Connector 26"/>
            <xdr:cNvCxnSpPr/>
          </xdr:nvCxnSpPr>
          <xdr:spPr>
            <a:xfrm>
              <a:off x="816428" y="2571750"/>
              <a:ext cx="1524000" cy="0"/>
            </a:xfrm>
            <a:prstGeom prst="straightConnector1">
              <a:avLst/>
            </a:prstGeom>
            <a:ln w="444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xdr:cNvCxnSpPr/>
          </xdr:nvCxnSpPr>
          <xdr:spPr>
            <a:xfrm>
              <a:off x="2857500" y="1524000"/>
              <a:ext cx="6804" cy="612321"/>
            </a:xfrm>
            <a:prstGeom prst="straightConnector1">
              <a:avLst/>
            </a:prstGeom>
            <a:ln w="4127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xdr:cNvCxnSpPr/>
          </xdr:nvCxnSpPr>
          <xdr:spPr>
            <a:xfrm>
              <a:off x="2871107" y="2979963"/>
              <a:ext cx="6804" cy="612321"/>
            </a:xfrm>
            <a:prstGeom prst="straightConnector1">
              <a:avLst/>
            </a:prstGeom>
            <a:ln w="4127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xnSp macro="">
        <xdr:nvCxnSpPr>
          <xdr:cNvPr id="24" name="Straight Arrow Connector 23"/>
          <xdr:cNvCxnSpPr/>
        </xdr:nvCxnSpPr>
        <xdr:spPr>
          <a:xfrm flipV="1">
            <a:off x="2449286" y="2423011"/>
            <a:ext cx="1151374" cy="12667"/>
          </a:xfrm>
          <a:prstGeom prst="straightConnector1">
            <a:avLst/>
          </a:prstGeom>
          <a:ln w="444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57150</xdr:colOff>
      <xdr:row>31</xdr:row>
      <xdr:rowOff>66674</xdr:rowOff>
    </xdr:to>
    <xdr:pic>
      <xdr:nvPicPr>
        <xdr:cNvPr id="2" name="Picture 1" descr="C:\Documents and Settings\asatpute\Desktop\VBA enabled hysys\Annexure 5.bmp"/>
        <xdr:cNvPicPr/>
      </xdr:nvPicPr>
      <xdr:blipFill>
        <a:blip xmlns:r="http://schemas.openxmlformats.org/officeDocument/2006/relationships" r:embed="rId1" cstate="print"/>
        <a:srcRect/>
        <a:stretch>
          <a:fillRect/>
        </a:stretch>
      </xdr:blipFill>
      <xdr:spPr bwMode="auto">
        <a:xfrm>
          <a:off x="0" y="0"/>
          <a:ext cx="7981950" cy="597217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mulasitiadahenti/REVIEW%20COLD%20BOX%20JANUARI/Coldbox%20Review%20REV%2014%20JA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LDBOX"/>
      <sheetName val="menu-utama"/>
      <sheetName val="Heat Balance"/>
      <sheetName val="input"/>
      <sheetName val="correction temperature"/>
      <sheetName val="average"/>
    </sheetNames>
    <sheetDataSet>
      <sheetData sheetId="0"/>
      <sheetData sheetId="1"/>
      <sheetData sheetId="2"/>
      <sheetData sheetId="3"/>
      <sheetData sheetId="4"/>
      <sheetData sheetId="5">
        <row r="7">
          <cell r="E7">
            <v>60.726015277777776</v>
          </cell>
          <cell r="F7">
            <v>60.312847388888891</v>
          </cell>
          <cell r="G7">
            <v>60.726015277777776</v>
          </cell>
          <cell r="H7">
            <v>60.312847388888891</v>
          </cell>
        </row>
        <row r="20">
          <cell r="E20">
            <v>735.25982222222217</v>
          </cell>
          <cell r="F20">
            <v>734.58396527777779</v>
          </cell>
          <cell r="G20">
            <v>735.25982222222217</v>
          </cell>
          <cell r="H20">
            <v>734.58396527777779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I9"/>
  <sheetViews>
    <sheetView tabSelected="1" view="pageBreakPreview" zoomScaleNormal="100" zoomScaleSheetLayoutView="100" workbookViewId="0">
      <selection activeCell="O4" sqref="O4"/>
    </sheetView>
  </sheetViews>
  <sheetFormatPr defaultRowHeight="15"/>
  <cols>
    <col min="1" max="16384" width="9.140625" style="8"/>
  </cols>
  <sheetData>
    <row r="1" spans="1:9">
      <c r="A1" s="28" t="s">
        <v>111</v>
      </c>
      <c r="B1" s="29"/>
      <c r="C1" s="29"/>
      <c r="D1" s="29"/>
      <c r="E1" s="29"/>
      <c r="F1" s="29"/>
      <c r="G1" s="29"/>
      <c r="H1" s="29"/>
      <c r="I1" s="30"/>
    </row>
    <row r="2" spans="1:9">
      <c r="A2" s="31"/>
      <c r="B2" s="32"/>
      <c r="C2" s="32"/>
      <c r="D2" s="32"/>
      <c r="E2" s="32"/>
      <c r="F2" s="32"/>
      <c r="G2" s="32"/>
      <c r="H2" s="32"/>
      <c r="I2" s="33"/>
    </row>
    <row r="3" spans="1:9">
      <c r="A3" s="85" t="s">
        <v>112</v>
      </c>
      <c r="B3" s="86"/>
      <c r="C3" s="86"/>
      <c r="D3" s="86"/>
      <c r="E3" s="86"/>
      <c r="F3" s="86"/>
      <c r="G3" s="86"/>
      <c r="H3" s="86"/>
      <c r="I3" s="87"/>
    </row>
    <row r="4" spans="1:9" ht="332.25" customHeight="1" thickBot="1">
      <c r="A4" s="82" t="s">
        <v>132</v>
      </c>
      <c r="B4" s="83"/>
      <c r="C4" s="83"/>
      <c r="D4" s="83"/>
      <c r="E4" s="83"/>
      <c r="F4" s="83"/>
      <c r="G4" s="83"/>
      <c r="H4" s="83"/>
      <c r="I4" s="84"/>
    </row>
    <row r="6" spans="1:9">
      <c r="A6" s="103" t="s">
        <v>134</v>
      </c>
    </row>
    <row r="7" spans="1:9">
      <c r="A7" s="8" t="s">
        <v>135</v>
      </c>
    </row>
    <row r="8" spans="1:9">
      <c r="A8" s="8" t="s">
        <v>136</v>
      </c>
    </row>
    <row r="9" spans="1:9">
      <c r="A9" s="8" t="s">
        <v>137</v>
      </c>
    </row>
  </sheetData>
  <mergeCells count="2">
    <mergeCell ref="A4:I4"/>
    <mergeCell ref="A3:I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2"/>
  <dimension ref="A1:A18"/>
  <sheetViews>
    <sheetView view="pageBreakPreview" zoomScaleNormal="100" zoomScaleSheetLayoutView="100" workbookViewId="0">
      <selection activeCell="A14" sqref="A14"/>
    </sheetView>
  </sheetViews>
  <sheetFormatPr defaultRowHeight="15"/>
  <cols>
    <col min="1" max="1" width="95.85546875" customWidth="1"/>
  </cols>
  <sheetData>
    <row r="1" spans="1:1">
      <c r="A1" s="34" t="s">
        <v>27</v>
      </c>
    </row>
    <row r="2" spans="1:1">
      <c r="A2" s="35"/>
    </row>
    <row r="3" spans="1:1">
      <c r="A3" s="71" t="s">
        <v>38</v>
      </c>
    </row>
    <row r="4" spans="1:1" s="14" customFormat="1">
      <c r="A4" s="71" t="s">
        <v>37</v>
      </c>
    </row>
    <row r="5" spans="1:1">
      <c r="A5" s="72" t="s">
        <v>58</v>
      </c>
    </row>
    <row r="6" spans="1:1" ht="30">
      <c r="A6" s="71" t="s">
        <v>59</v>
      </c>
    </row>
    <row r="7" spans="1:1" s="14" customFormat="1">
      <c r="A7" s="71" t="s">
        <v>60</v>
      </c>
    </row>
    <row r="8" spans="1:1" s="14" customFormat="1" ht="30">
      <c r="A8" s="71" t="s">
        <v>108</v>
      </c>
    </row>
    <row r="9" spans="1:1" s="14" customFormat="1" ht="30">
      <c r="A9" s="71" t="s">
        <v>107</v>
      </c>
    </row>
    <row r="10" spans="1:1">
      <c r="A10" s="71" t="s">
        <v>109</v>
      </c>
    </row>
    <row r="11" spans="1:1" ht="45">
      <c r="A11" s="71" t="s">
        <v>110</v>
      </c>
    </row>
    <row r="12" spans="1:1" ht="15.75" thickBot="1">
      <c r="A12" s="73" t="s">
        <v>113</v>
      </c>
    </row>
    <row r="13" spans="1:1">
      <c r="A13" s="12"/>
    </row>
    <row r="14" spans="1:1">
      <c r="A14" s="12"/>
    </row>
    <row r="15" spans="1:1">
      <c r="A15" s="12"/>
    </row>
    <row r="16" spans="1:1">
      <c r="A16" s="12"/>
    </row>
    <row r="17" spans="1:1">
      <c r="A17" s="12"/>
    </row>
    <row r="18" spans="1:1">
      <c r="A18"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10"/>
  <dimension ref="A1:K26"/>
  <sheetViews>
    <sheetView view="pageBreakPreview" zoomScaleNormal="85" zoomScaleSheetLayoutView="100" workbookViewId="0">
      <selection activeCell="P11" sqref="P11"/>
    </sheetView>
  </sheetViews>
  <sheetFormatPr defaultRowHeight="15"/>
  <cols>
    <col min="1" max="9" width="8.85546875" customWidth="1"/>
    <col min="10" max="10" width="8.85546875" style="14" customWidth="1"/>
    <col min="11" max="11" width="8.85546875" customWidth="1"/>
  </cols>
  <sheetData>
    <row r="1" spans="1:11" ht="15.75" thickBot="1">
      <c r="A1" s="36" t="s">
        <v>40</v>
      </c>
      <c r="B1" s="37"/>
      <c r="C1" s="37"/>
      <c r="D1" s="37"/>
      <c r="E1" s="37"/>
      <c r="F1" s="37"/>
      <c r="G1" s="37"/>
      <c r="H1" s="37"/>
      <c r="I1" s="22"/>
      <c r="J1" s="22"/>
      <c r="K1" s="23"/>
    </row>
    <row r="2" spans="1:11">
      <c r="A2" s="16"/>
      <c r="B2" s="17"/>
      <c r="C2" s="17"/>
      <c r="D2" s="17"/>
      <c r="E2" s="17"/>
      <c r="F2" s="17"/>
      <c r="G2" s="17"/>
      <c r="H2" s="18"/>
      <c r="I2" s="22"/>
      <c r="J2" s="22"/>
      <c r="K2" s="23"/>
    </row>
    <row r="3" spans="1:11">
      <c r="A3" s="38"/>
      <c r="B3" s="39"/>
      <c r="C3" s="39"/>
      <c r="D3" s="39"/>
      <c r="E3" s="39"/>
      <c r="F3" s="39"/>
      <c r="G3" s="39"/>
      <c r="H3" s="39"/>
      <c r="I3" s="39"/>
      <c r="J3" s="39"/>
      <c r="K3" s="40"/>
    </row>
    <row r="4" spans="1:11" s="14" customFormat="1">
      <c r="A4" s="38"/>
      <c r="B4" s="39"/>
      <c r="C4" s="39"/>
      <c r="D4" s="39"/>
      <c r="E4" s="39"/>
      <c r="F4" s="39"/>
      <c r="G4" s="39"/>
      <c r="H4" s="39"/>
      <c r="I4" s="39"/>
      <c r="J4" s="39"/>
      <c r="K4" s="40"/>
    </row>
    <row r="5" spans="1:11" s="14" customFormat="1">
      <c r="A5" s="38"/>
      <c r="B5" s="39"/>
      <c r="C5" s="39"/>
      <c r="D5" s="39"/>
      <c r="E5" s="39"/>
      <c r="F5" s="39"/>
      <c r="G5" s="39"/>
      <c r="H5" s="39"/>
      <c r="I5" s="39"/>
      <c r="J5" s="39"/>
      <c r="K5" s="40"/>
    </row>
    <row r="6" spans="1:11" s="14" customFormat="1">
      <c r="A6" s="38"/>
      <c r="B6" s="39"/>
      <c r="C6" s="39"/>
      <c r="D6" s="39"/>
      <c r="E6" s="39"/>
      <c r="F6" s="41" t="s">
        <v>41</v>
      </c>
      <c r="G6" s="39"/>
      <c r="H6" s="39"/>
      <c r="I6" s="39"/>
      <c r="J6" s="39"/>
      <c r="K6" s="40"/>
    </row>
    <row r="7" spans="1:11">
      <c r="A7" s="38"/>
      <c r="B7" s="39"/>
      <c r="C7" s="39"/>
      <c r="D7" s="39"/>
      <c r="E7" s="39"/>
      <c r="F7" s="42">
        <v>70</v>
      </c>
      <c r="G7" s="39" t="s">
        <v>42</v>
      </c>
      <c r="H7" s="39"/>
      <c r="I7" s="39"/>
      <c r="J7" s="39"/>
      <c r="K7" s="40"/>
    </row>
    <row r="8" spans="1:11">
      <c r="A8" s="38"/>
      <c r="B8" s="39"/>
      <c r="C8" s="39"/>
      <c r="D8" s="39"/>
      <c r="E8" s="39"/>
      <c r="F8" s="42">
        <v>5</v>
      </c>
      <c r="G8" s="39" t="s">
        <v>43</v>
      </c>
      <c r="H8" s="39"/>
      <c r="I8" s="39"/>
      <c r="J8" s="39"/>
      <c r="K8" s="40"/>
    </row>
    <row r="9" spans="1:11">
      <c r="A9" s="38"/>
      <c r="B9" s="39"/>
      <c r="C9" s="39"/>
      <c r="D9" s="39"/>
      <c r="E9" s="39"/>
      <c r="F9" s="42">
        <v>5000</v>
      </c>
      <c r="G9" s="39" t="s">
        <v>0</v>
      </c>
      <c r="H9" s="39"/>
      <c r="I9" s="39"/>
      <c r="J9" s="39"/>
      <c r="K9" s="40"/>
    </row>
    <row r="10" spans="1:11" s="14" customFormat="1">
      <c r="A10" s="38"/>
      <c r="B10" s="39"/>
      <c r="C10" s="39"/>
      <c r="D10" s="39"/>
      <c r="E10" s="39"/>
      <c r="F10" s="42">
        <v>0.4</v>
      </c>
      <c r="G10" s="39"/>
      <c r="H10" s="39"/>
      <c r="I10" s="39"/>
      <c r="J10" s="39"/>
      <c r="K10" s="40"/>
    </row>
    <row r="11" spans="1:11" s="14" customFormat="1">
      <c r="A11" s="38"/>
      <c r="B11" s="39"/>
      <c r="C11" s="39"/>
      <c r="D11" s="39"/>
      <c r="E11" s="39"/>
      <c r="F11" s="42">
        <v>0.6</v>
      </c>
      <c r="G11" s="39" t="s">
        <v>45</v>
      </c>
      <c r="H11" s="39"/>
      <c r="I11" s="39"/>
      <c r="J11" s="39"/>
      <c r="K11" s="40"/>
    </row>
    <row r="12" spans="1:11">
      <c r="A12" s="38"/>
      <c r="B12" s="39"/>
      <c r="C12" s="39"/>
      <c r="D12" s="39"/>
      <c r="E12" s="39"/>
      <c r="F12" s="39"/>
      <c r="G12" s="39"/>
      <c r="H12" s="39"/>
      <c r="I12" s="39"/>
      <c r="J12" s="39"/>
      <c r="K12" s="40"/>
    </row>
    <row r="13" spans="1:11">
      <c r="A13" s="38"/>
      <c r="B13" s="39"/>
      <c r="C13" s="39"/>
      <c r="D13" s="39"/>
      <c r="E13" s="39"/>
      <c r="F13" s="39"/>
      <c r="G13" s="39"/>
      <c r="H13" s="39"/>
      <c r="I13" s="39"/>
      <c r="J13" s="39"/>
      <c r="K13" s="40"/>
    </row>
    <row r="14" spans="1:11" ht="15" customHeight="1">
      <c r="A14" s="38"/>
      <c r="B14" s="39"/>
      <c r="C14" s="39"/>
      <c r="D14" s="39"/>
      <c r="E14" s="88"/>
      <c r="F14" s="88"/>
      <c r="G14" s="39"/>
      <c r="H14" s="39"/>
      <c r="I14" s="39"/>
      <c r="J14" s="39"/>
      <c r="K14" s="40"/>
    </row>
    <row r="15" spans="1:11" ht="15" customHeight="1">
      <c r="A15" s="38"/>
      <c r="B15" s="39"/>
      <c r="C15" s="39"/>
      <c r="D15" s="39"/>
      <c r="E15" s="88"/>
      <c r="F15" s="88"/>
      <c r="G15" s="39"/>
      <c r="H15" s="39"/>
      <c r="I15" s="39"/>
      <c r="J15" s="39"/>
      <c r="K15" s="40"/>
    </row>
    <row r="16" spans="1:11">
      <c r="A16" s="43" t="s">
        <v>44</v>
      </c>
      <c r="B16" s="39"/>
      <c r="C16" s="39"/>
      <c r="D16" s="39"/>
      <c r="E16" s="88"/>
      <c r="F16" s="88"/>
      <c r="G16" s="39"/>
      <c r="H16" s="41" t="s">
        <v>54</v>
      </c>
      <c r="I16" s="39"/>
      <c r="J16" s="39"/>
      <c r="K16" s="40"/>
    </row>
    <row r="17" spans="1:11">
      <c r="A17" s="44">
        <v>30</v>
      </c>
      <c r="B17" s="39" t="s">
        <v>42</v>
      </c>
      <c r="C17" s="39"/>
      <c r="D17" s="39"/>
      <c r="E17" s="39"/>
      <c r="F17" s="39"/>
      <c r="G17" s="39"/>
      <c r="H17" s="42">
        <v>40</v>
      </c>
      <c r="I17" s="39" t="s">
        <v>42</v>
      </c>
      <c r="J17" s="39"/>
      <c r="K17" s="40"/>
    </row>
    <row r="18" spans="1:11">
      <c r="A18" s="44">
        <v>3.5</v>
      </c>
      <c r="B18" s="39" t="s">
        <v>43</v>
      </c>
      <c r="C18" s="39"/>
      <c r="D18" s="39"/>
      <c r="E18" s="39"/>
      <c r="F18" s="39"/>
      <c r="G18" s="39"/>
      <c r="H18" s="42">
        <v>3.4</v>
      </c>
      <c r="I18" s="39" t="s">
        <v>43</v>
      </c>
      <c r="J18" s="39"/>
      <c r="K18" s="40"/>
    </row>
    <row r="19" spans="1:11">
      <c r="A19" s="45">
        <f>Annexure_3_output_table!F6</f>
        <v>4863.5441961211445</v>
      </c>
      <c r="B19" s="39" t="s">
        <v>0</v>
      </c>
      <c r="C19" s="39"/>
      <c r="D19" s="39"/>
      <c r="E19" s="39"/>
      <c r="F19" s="39"/>
      <c r="G19" s="39"/>
      <c r="H19" s="39"/>
      <c r="I19" s="39"/>
      <c r="J19" s="39"/>
      <c r="K19" s="40"/>
    </row>
    <row r="20" spans="1:11">
      <c r="A20" s="38"/>
      <c r="B20" s="39"/>
      <c r="C20" s="39"/>
      <c r="D20" s="39"/>
      <c r="E20" s="39"/>
      <c r="F20" s="39"/>
      <c r="G20" s="39"/>
      <c r="H20" s="39"/>
      <c r="I20" s="39"/>
      <c r="J20" s="39"/>
      <c r="K20" s="40"/>
    </row>
    <row r="21" spans="1:11">
      <c r="A21" s="38"/>
      <c r="B21" s="39"/>
      <c r="C21" s="39"/>
      <c r="D21" s="39"/>
      <c r="E21" s="39"/>
      <c r="F21" s="39"/>
      <c r="G21" s="39"/>
      <c r="H21" s="39"/>
      <c r="I21" s="39"/>
      <c r="J21" s="39"/>
      <c r="K21" s="40"/>
    </row>
    <row r="22" spans="1:11">
      <c r="A22" s="38"/>
      <c r="B22" s="39"/>
      <c r="C22" s="39"/>
      <c r="D22" s="39"/>
      <c r="E22" s="39"/>
      <c r="F22" s="39"/>
      <c r="G22" s="39"/>
      <c r="H22" s="39"/>
      <c r="I22" s="39"/>
      <c r="J22" s="39"/>
      <c r="K22" s="40"/>
    </row>
    <row r="23" spans="1:11">
      <c r="A23" s="38"/>
      <c r="B23" s="39"/>
      <c r="C23" s="39"/>
      <c r="D23" s="39"/>
      <c r="E23" s="39"/>
      <c r="F23" s="41" t="s">
        <v>55</v>
      </c>
      <c r="G23" s="39"/>
      <c r="H23" s="39"/>
      <c r="I23" s="39"/>
      <c r="J23" s="39"/>
      <c r="K23" s="40"/>
    </row>
    <row r="24" spans="1:11">
      <c r="A24" s="38"/>
      <c r="B24" s="39"/>
      <c r="C24" s="39"/>
      <c r="D24" s="39"/>
      <c r="E24" s="39"/>
      <c r="F24" s="42">
        <v>50</v>
      </c>
      <c r="G24" s="39" t="s">
        <v>42</v>
      </c>
      <c r="H24" s="39"/>
      <c r="I24" s="39"/>
      <c r="J24" s="39"/>
      <c r="K24" s="40"/>
    </row>
    <row r="25" spans="1:11">
      <c r="A25" s="38"/>
      <c r="B25" s="39"/>
      <c r="C25" s="39"/>
      <c r="D25" s="39"/>
      <c r="E25" s="39"/>
      <c r="F25" s="42">
        <v>4.9000000000000004</v>
      </c>
      <c r="G25" s="39" t="s">
        <v>43</v>
      </c>
      <c r="H25" s="39"/>
      <c r="I25" s="39"/>
      <c r="J25" s="39"/>
      <c r="K25" s="40"/>
    </row>
    <row r="26" spans="1:11" ht="15.75" thickBot="1">
      <c r="A26" s="46"/>
      <c r="B26" s="47"/>
      <c r="C26" s="47"/>
      <c r="D26" s="47"/>
      <c r="E26" s="47"/>
      <c r="F26" s="47"/>
      <c r="G26" s="47"/>
      <c r="H26" s="47"/>
      <c r="I26" s="47"/>
      <c r="J26" s="47"/>
      <c r="K26" s="48"/>
    </row>
  </sheetData>
  <mergeCells count="1">
    <mergeCell ref="E14:F16"/>
  </mergeCells>
  <pageMargins left="0.27" right="0.21" top="0.46" bottom="5.21" header="0.3" footer="0.3"/>
  <pageSetup paperSize="8" scale="69" fitToHeight="2" orientation="landscape" r:id="rId1"/>
  <drawing r:id="rId2"/>
  <legacyDrawing r:id="rId3"/>
</worksheet>
</file>

<file path=xl/worksheets/sheet4.xml><?xml version="1.0" encoding="utf-8"?>
<worksheet xmlns="http://schemas.openxmlformats.org/spreadsheetml/2006/main" xmlns:r="http://schemas.openxmlformats.org/officeDocument/2006/relationships">
  <sheetPr codeName="Sheet9">
    <pageSetUpPr fitToPage="1"/>
  </sheetPr>
  <dimension ref="A1:H21"/>
  <sheetViews>
    <sheetView view="pageBreakPreview" zoomScale="85" zoomScaleNormal="100" zoomScaleSheetLayoutView="85" workbookViewId="0">
      <selection activeCell="M8" sqref="M8"/>
    </sheetView>
  </sheetViews>
  <sheetFormatPr defaultRowHeight="23.25" customHeight="1"/>
  <cols>
    <col min="1" max="1" width="34.28515625" style="1" customWidth="1"/>
    <col min="2" max="2" width="40.28515625" style="1" bestFit="1" customWidth="1"/>
    <col min="3" max="3" width="10.140625" style="4" hidden="1" customWidth="1"/>
    <col min="4" max="5" width="9.28515625" style="4" bestFit="1" customWidth="1"/>
    <col min="6" max="6" width="10.5703125" style="3" bestFit="1" customWidth="1"/>
    <col min="7" max="8" width="10.5703125" style="3" customWidth="1"/>
    <col min="9" max="16384" width="9.140625" style="1"/>
  </cols>
  <sheetData>
    <row r="1" spans="1:8" ht="23.25" customHeight="1">
      <c r="A1" s="49" t="s">
        <v>9</v>
      </c>
      <c r="B1" s="50"/>
      <c r="C1" s="51"/>
      <c r="D1" s="51"/>
      <c r="E1" s="51"/>
      <c r="F1" s="52"/>
      <c r="G1" s="52"/>
      <c r="H1" s="53"/>
    </row>
    <row r="2" spans="1:8" ht="23.25" customHeight="1">
      <c r="A2" s="54" t="s">
        <v>39</v>
      </c>
      <c r="B2" s="96" t="s">
        <v>133</v>
      </c>
      <c r="C2" s="97"/>
      <c r="D2" s="97"/>
      <c r="E2" s="97"/>
      <c r="F2" s="97"/>
      <c r="G2" s="97"/>
      <c r="H2" s="98"/>
    </row>
    <row r="3" spans="1:8" ht="23.25" customHeight="1">
      <c r="A3" s="89" t="s">
        <v>29</v>
      </c>
      <c r="B3" s="90"/>
      <c r="C3" s="90"/>
      <c r="D3" s="90"/>
      <c r="E3" s="90"/>
      <c r="F3" s="90"/>
      <c r="G3" s="90"/>
      <c r="H3" s="91"/>
    </row>
    <row r="4" spans="1:8" ht="23.25" customHeight="1">
      <c r="A4" s="55" t="s">
        <v>28</v>
      </c>
      <c r="B4" s="2" t="s">
        <v>5</v>
      </c>
      <c r="C4" s="6" t="s">
        <v>1</v>
      </c>
      <c r="D4" s="11" t="s">
        <v>3</v>
      </c>
      <c r="E4" s="9" t="s">
        <v>2</v>
      </c>
      <c r="F4" s="10" t="s">
        <v>4</v>
      </c>
      <c r="G4" s="92" t="s">
        <v>46</v>
      </c>
      <c r="H4" s="94" t="s">
        <v>47</v>
      </c>
    </row>
    <row r="5" spans="1:8" ht="23.25" customHeight="1">
      <c r="A5" s="56"/>
      <c r="B5" s="15"/>
      <c r="C5" s="7" t="s">
        <v>6</v>
      </c>
      <c r="D5" s="11" t="s">
        <v>7</v>
      </c>
      <c r="E5" s="9" t="s">
        <v>8</v>
      </c>
      <c r="F5" s="10" t="s">
        <v>0</v>
      </c>
      <c r="G5" s="93"/>
      <c r="H5" s="95"/>
    </row>
    <row r="6" spans="1:8" ht="23.25" customHeight="1">
      <c r="A6" s="57" t="s">
        <v>48</v>
      </c>
      <c r="B6" s="15" t="s">
        <v>49</v>
      </c>
      <c r="C6" s="15"/>
      <c r="D6" s="15">
        <f>'Annexure 1_PFD'!F7</f>
        <v>70</v>
      </c>
      <c r="E6" s="15">
        <f>'Annexure 1_PFD'!F8</f>
        <v>5</v>
      </c>
      <c r="F6" s="15">
        <f>'Annexure 1_PFD'!F9</f>
        <v>5000</v>
      </c>
      <c r="G6" s="15">
        <f>'Annexure 1_PFD'!F10</f>
        <v>0.4</v>
      </c>
      <c r="H6" s="58">
        <f>'Annexure 1_PFD'!F11</f>
        <v>0.6</v>
      </c>
    </row>
    <row r="7" spans="1:8" ht="23.25" customHeight="1">
      <c r="A7" s="57" t="s">
        <v>50</v>
      </c>
      <c r="B7" s="15" t="s">
        <v>51</v>
      </c>
      <c r="C7" s="15"/>
      <c r="D7" s="15">
        <f>'Annexure 1_PFD'!F24</f>
        <v>50</v>
      </c>
      <c r="E7" s="15">
        <f>'Annexure 1_PFD'!F25</f>
        <v>4.9000000000000004</v>
      </c>
      <c r="F7" s="15"/>
      <c r="G7" s="15"/>
      <c r="H7" s="58"/>
    </row>
    <row r="8" spans="1:8" ht="23.25" customHeight="1">
      <c r="A8" s="59"/>
      <c r="B8" s="15"/>
      <c r="C8" s="15"/>
      <c r="D8" s="15"/>
      <c r="E8" s="15"/>
      <c r="F8" s="15"/>
      <c r="G8" s="15"/>
      <c r="H8" s="58"/>
    </row>
    <row r="9" spans="1:8" ht="23.25" customHeight="1">
      <c r="A9" s="57" t="s">
        <v>52</v>
      </c>
      <c r="B9" s="15" t="s">
        <v>53</v>
      </c>
      <c r="C9" s="15"/>
      <c r="D9" s="15">
        <f>'Annexure 1_PFD'!A17</f>
        <v>30</v>
      </c>
      <c r="E9" s="15">
        <f>'Annexure 1_PFD'!A18</f>
        <v>3.5</v>
      </c>
      <c r="F9" s="15"/>
      <c r="G9" s="15"/>
      <c r="H9" s="58"/>
    </row>
    <row r="10" spans="1:8" ht="23.25" customHeight="1">
      <c r="A10" s="57" t="s">
        <v>56</v>
      </c>
      <c r="B10" s="15" t="s">
        <v>57</v>
      </c>
      <c r="C10" s="15"/>
      <c r="D10" s="15">
        <f>'Annexure 1_PFD'!H17</f>
        <v>40</v>
      </c>
      <c r="E10" s="15">
        <f>'Annexure 1_PFD'!H18</f>
        <v>3.4</v>
      </c>
      <c r="F10" s="15"/>
      <c r="G10" s="15"/>
      <c r="H10" s="58"/>
    </row>
    <row r="11" spans="1:8" ht="23.25" customHeight="1">
      <c r="A11" s="59"/>
      <c r="B11" s="15"/>
      <c r="C11" s="15"/>
      <c r="D11" s="15"/>
      <c r="E11" s="15"/>
      <c r="F11" s="15"/>
      <c r="G11" s="15"/>
      <c r="H11" s="58"/>
    </row>
    <row r="12" spans="1:8" ht="23.25" customHeight="1">
      <c r="A12" s="59"/>
      <c r="B12" s="26"/>
      <c r="C12" s="15"/>
      <c r="D12" s="15"/>
      <c r="E12" s="15"/>
      <c r="F12" s="15"/>
      <c r="G12" s="15"/>
      <c r="H12" s="58"/>
    </row>
    <row r="13" spans="1:8" ht="23.25" customHeight="1">
      <c r="A13" s="59"/>
      <c r="B13" s="15"/>
      <c r="C13" s="15"/>
      <c r="D13" s="15"/>
      <c r="E13" s="15"/>
      <c r="F13" s="15"/>
      <c r="G13" s="15"/>
      <c r="H13" s="58"/>
    </row>
    <row r="14" spans="1:8" ht="23.25" customHeight="1">
      <c r="A14" s="59"/>
      <c r="B14" s="15"/>
      <c r="C14" s="15"/>
      <c r="D14" s="15"/>
      <c r="E14" s="15"/>
      <c r="F14" s="15"/>
      <c r="G14" s="15"/>
      <c r="H14" s="58"/>
    </row>
    <row r="15" spans="1:8" ht="23.25" customHeight="1">
      <c r="A15" s="59"/>
      <c r="B15" s="15"/>
      <c r="C15" s="15"/>
      <c r="D15" s="15"/>
      <c r="E15" s="15"/>
      <c r="F15" s="15"/>
      <c r="G15" s="21"/>
      <c r="H15" s="60"/>
    </row>
    <row r="16" spans="1:8" ht="23.25" customHeight="1">
      <c r="A16" s="59"/>
      <c r="B16" s="15"/>
      <c r="C16" s="15"/>
      <c r="D16" s="15"/>
      <c r="E16" s="15"/>
      <c r="F16" s="15"/>
      <c r="G16" s="21"/>
      <c r="H16" s="60"/>
    </row>
    <row r="17" spans="1:8" ht="23.25" customHeight="1">
      <c r="A17" s="59"/>
      <c r="B17" s="15"/>
      <c r="C17" s="15"/>
      <c r="D17" s="15"/>
      <c r="E17" s="15"/>
      <c r="F17" s="15"/>
      <c r="G17" s="21"/>
      <c r="H17" s="60"/>
    </row>
    <row r="18" spans="1:8" ht="23.25" customHeight="1">
      <c r="A18" s="59"/>
      <c r="B18" s="15"/>
      <c r="C18" s="15"/>
      <c r="D18" s="15"/>
      <c r="E18" s="15"/>
      <c r="F18" s="15"/>
      <c r="G18" s="21"/>
      <c r="H18" s="60"/>
    </row>
    <row r="19" spans="1:8" ht="23.25" customHeight="1">
      <c r="A19" s="59"/>
      <c r="B19" s="15"/>
      <c r="C19" s="15"/>
      <c r="D19" s="15"/>
      <c r="E19" s="15"/>
      <c r="F19" s="15"/>
      <c r="G19" s="21"/>
      <c r="H19" s="60"/>
    </row>
    <row r="20" spans="1:8" ht="23.25" customHeight="1">
      <c r="A20" s="59"/>
      <c r="B20" s="15"/>
      <c r="C20" s="15"/>
      <c r="D20" s="15"/>
      <c r="E20" s="15"/>
      <c r="F20" s="15"/>
      <c r="G20" s="21"/>
      <c r="H20" s="60"/>
    </row>
    <row r="21" spans="1:8" ht="23.25" customHeight="1" thickBot="1">
      <c r="A21" s="61"/>
      <c r="B21" s="62"/>
      <c r="C21" s="62"/>
      <c r="D21" s="62"/>
      <c r="E21" s="62"/>
      <c r="F21" s="62"/>
      <c r="G21" s="63"/>
      <c r="H21" s="64"/>
    </row>
  </sheetData>
  <mergeCells count="4">
    <mergeCell ref="A3:H3"/>
    <mergeCell ref="G4:G5"/>
    <mergeCell ref="H4:H5"/>
    <mergeCell ref="B2:H2"/>
  </mergeCells>
  <pageMargins left="0.7" right="0.7" top="0.75" bottom="0.75" header="0.3" footer="0.3"/>
  <pageSetup paperSize="9" scale="70" fitToHeight="2" orientation="portrait" r:id="rId1"/>
  <legacyDrawing r:id="rId2"/>
</worksheet>
</file>

<file path=xl/worksheets/sheet5.xml><?xml version="1.0" encoding="utf-8"?>
<worksheet xmlns="http://schemas.openxmlformats.org/spreadsheetml/2006/main" xmlns:r="http://schemas.openxmlformats.org/officeDocument/2006/relationships">
  <sheetPr codeName="Sheet11">
    <pageSetUpPr fitToPage="1"/>
  </sheetPr>
  <dimension ref="A1:M13"/>
  <sheetViews>
    <sheetView view="pageBreakPreview" zoomScale="85" zoomScaleNormal="100" zoomScaleSheetLayoutView="85" workbookViewId="0">
      <selection activeCell="B18" sqref="B18"/>
    </sheetView>
  </sheetViews>
  <sheetFormatPr defaultRowHeight="23.25" customHeight="1"/>
  <cols>
    <col min="1" max="1" width="34.28515625" style="1" customWidth="1"/>
    <col min="2" max="2" width="65.42578125" style="1" bestFit="1" customWidth="1"/>
    <col min="3" max="3" width="10.140625" style="4" hidden="1" customWidth="1"/>
    <col min="4" max="5" width="9.28515625" style="4" bestFit="1" customWidth="1"/>
    <col min="6" max="6" width="10.5703125" style="3" bestFit="1" customWidth="1"/>
    <col min="7" max="9" width="10.5703125" style="3" hidden="1" customWidth="1"/>
    <col min="10" max="16384" width="9.140625" style="1"/>
  </cols>
  <sheetData>
    <row r="1" spans="1:13" ht="23.25" customHeight="1">
      <c r="A1" s="49" t="s">
        <v>32</v>
      </c>
      <c r="B1" s="50"/>
      <c r="C1" s="51"/>
      <c r="D1" s="51"/>
      <c r="E1" s="51"/>
      <c r="F1" s="52"/>
      <c r="G1" s="52"/>
      <c r="H1" s="52"/>
      <c r="I1" s="53"/>
      <c r="J1" s="50"/>
      <c r="K1" s="50"/>
      <c r="L1" s="50"/>
      <c r="M1" s="74"/>
    </row>
    <row r="2" spans="1:13" ht="23.25" customHeight="1">
      <c r="A2" s="65"/>
      <c r="B2" s="100"/>
      <c r="C2" s="100"/>
      <c r="D2" s="100"/>
      <c r="E2" s="100"/>
      <c r="F2" s="100"/>
      <c r="G2" s="100"/>
      <c r="H2" s="100"/>
      <c r="I2" s="101"/>
      <c r="J2" s="75"/>
      <c r="K2" s="75"/>
      <c r="L2" s="75"/>
      <c r="M2" s="76"/>
    </row>
    <row r="3" spans="1:13" ht="23.25" customHeight="1">
      <c r="A3" s="89" t="s">
        <v>30</v>
      </c>
      <c r="B3" s="90"/>
      <c r="C3" s="90"/>
      <c r="D3" s="90"/>
      <c r="E3" s="90"/>
      <c r="F3" s="90"/>
      <c r="G3" s="90"/>
      <c r="H3" s="90"/>
      <c r="I3" s="91"/>
      <c r="J3" s="75"/>
      <c r="K3" s="75"/>
      <c r="L3" s="75"/>
      <c r="M3" s="76"/>
    </row>
    <row r="4" spans="1:13" ht="23.25" customHeight="1">
      <c r="A4" s="55" t="s">
        <v>28</v>
      </c>
      <c r="B4" s="2" t="s">
        <v>5</v>
      </c>
      <c r="C4" s="6" t="s">
        <v>1</v>
      </c>
      <c r="D4" s="11" t="s">
        <v>3</v>
      </c>
      <c r="E4" s="9" t="s">
        <v>2</v>
      </c>
      <c r="F4" s="10" t="s">
        <v>4</v>
      </c>
      <c r="G4" s="10"/>
      <c r="H4" s="10"/>
      <c r="I4" s="10"/>
      <c r="J4" s="102" t="s">
        <v>46</v>
      </c>
      <c r="K4" s="102" t="s">
        <v>47</v>
      </c>
      <c r="L4" s="102" t="s">
        <v>121</v>
      </c>
      <c r="M4" s="99" t="s">
        <v>122</v>
      </c>
    </row>
    <row r="5" spans="1:13" ht="23.25" customHeight="1">
      <c r="A5" s="57"/>
      <c r="B5" s="15"/>
      <c r="C5" s="15"/>
      <c r="D5" s="11" t="s">
        <v>7</v>
      </c>
      <c r="E5" s="9" t="s">
        <v>8</v>
      </c>
      <c r="F5" s="10" t="s">
        <v>0</v>
      </c>
      <c r="G5" s="10"/>
      <c r="H5" s="10"/>
      <c r="I5" s="10"/>
      <c r="J5" s="102"/>
      <c r="K5" s="102"/>
      <c r="L5" s="102" t="s">
        <v>120</v>
      </c>
      <c r="M5" s="99" t="s">
        <v>120</v>
      </c>
    </row>
    <row r="6" spans="1:13" ht="23.25" customHeight="1">
      <c r="A6" s="57" t="s">
        <v>52</v>
      </c>
      <c r="B6" s="15" t="s">
        <v>53</v>
      </c>
      <c r="C6" s="5"/>
      <c r="D6" s="5">
        <v>30</v>
      </c>
      <c r="E6" s="5">
        <v>3.5</v>
      </c>
      <c r="F6" s="27">
        <v>4863.5441961211445</v>
      </c>
      <c r="G6" s="5"/>
      <c r="H6" s="5"/>
      <c r="I6" s="5"/>
      <c r="J6" s="15"/>
      <c r="K6" s="15"/>
      <c r="L6" s="15"/>
      <c r="M6" s="58"/>
    </row>
    <row r="7" spans="1:13" ht="23.25" customHeight="1">
      <c r="A7" s="57" t="s">
        <v>50</v>
      </c>
      <c r="B7" s="15" t="s">
        <v>51</v>
      </c>
      <c r="C7" s="5"/>
      <c r="D7" s="5"/>
      <c r="E7" s="5"/>
      <c r="F7" s="5"/>
      <c r="G7" s="5"/>
      <c r="H7" s="5"/>
      <c r="I7" s="5"/>
      <c r="J7" s="27">
        <v>0.4</v>
      </c>
      <c r="K7" s="27">
        <v>0.60000000000000009</v>
      </c>
      <c r="L7" s="27">
        <v>4.9247696358426625</v>
      </c>
      <c r="M7" s="77">
        <v>1.1518090674416569E-2</v>
      </c>
    </row>
    <row r="8" spans="1:13" ht="23.25" customHeight="1">
      <c r="A8" s="78"/>
      <c r="B8" s="24"/>
      <c r="C8" s="25"/>
      <c r="D8" s="5"/>
      <c r="E8" s="5"/>
      <c r="F8" s="5"/>
      <c r="G8" s="25"/>
      <c r="H8" s="25"/>
      <c r="I8" s="25"/>
      <c r="J8" s="15"/>
      <c r="K8" s="15"/>
      <c r="L8" s="15"/>
      <c r="M8" s="58"/>
    </row>
    <row r="9" spans="1:13" ht="23.25" customHeight="1">
      <c r="A9" s="57"/>
      <c r="B9" s="15"/>
      <c r="C9" s="5"/>
      <c r="D9" s="5"/>
      <c r="E9" s="5"/>
      <c r="F9" s="5"/>
      <c r="G9" s="5"/>
      <c r="H9" s="5"/>
      <c r="I9" s="5"/>
      <c r="J9" s="15"/>
      <c r="K9" s="15"/>
      <c r="L9" s="15"/>
      <c r="M9" s="58"/>
    </row>
    <row r="10" spans="1:13" ht="23.25" customHeight="1">
      <c r="A10" s="57"/>
      <c r="B10" s="15"/>
      <c r="C10" s="5"/>
      <c r="D10" s="5"/>
      <c r="E10" s="5"/>
      <c r="F10" s="5"/>
      <c r="G10" s="5">
        <v>0.6</v>
      </c>
      <c r="H10" s="5"/>
      <c r="I10" s="5"/>
      <c r="J10" s="15"/>
      <c r="K10" s="15"/>
      <c r="L10" s="15"/>
      <c r="M10" s="58"/>
    </row>
    <row r="11" spans="1:13" ht="23.25" customHeight="1">
      <c r="A11" s="57"/>
      <c r="B11" s="15"/>
      <c r="C11" s="5"/>
      <c r="D11" s="5"/>
      <c r="E11" s="5"/>
      <c r="F11" s="5"/>
      <c r="G11" s="5"/>
      <c r="H11" s="5"/>
      <c r="I11" s="5"/>
      <c r="J11" s="15"/>
      <c r="K11" s="15"/>
      <c r="L11" s="15"/>
      <c r="M11" s="58"/>
    </row>
    <row r="12" spans="1:13" ht="23.25" customHeight="1">
      <c r="A12" s="79"/>
      <c r="B12" s="19"/>
      <c r="C12" s="20"/>
      <c r="D12" s="5"/>
      <c r="E12" s="5"/>
      <c r="F12" s="5"/>
      <c r="G12" s="5"/>
      <c r="H12" s="5"/>
      <c r="I12" s="5"/>
      <c r="J12" s="15"/>
      <c r="K12" s="15"/>
      <c r="L12" s="15"/>
      <c r="M12" s="58"/>
    </row>
    <row r="13" spans="1:13" ht="23.25" customHeight="1" thickBot="1">
      <c r="A13" s="80"/>
      <c r="B13" s="66"/>
      <c r="C13" s="67"/>
      <c r="D13" s="68"/>
      <c r="E13" s="68"/>
      <c r="F13" s="68"/>
      <c r="G13" s="68"/>
      <c r="H13" s="68"/>
      <c r="I13" s="68"/>
      <c r="J13" s="62"/>
      <c r="K13" s="62"/>
      <c r="L13" s="62"/>
      <c r="M13" s="81"/>
    </row>
  </sheetData>
  <mergeCells count="6">
    <mergeCell ref="M4:M5"/>
    <mergeCell ref="A3:I3"/>
    <mergeCell ref="B2:I2"/>
    <mergeCell ref="J4:J5"/>
    <mergeCell ref="K4:K5"/>
    <mergeCell ref="L4:L5"/>
  </mergeCells>
  <pageMargins left="0.7" right="0.7" top="0.75" bottom="0.75" header="0.3" footer="0.3"/>
  <pageSetup paperSize="9" scale="52" fitToHeight="2" orientation="portrait" r:id="rId1"/>
</worksheet>
</file>

<file path=xl/worksheets/sheet6.xml><?xml version="1.0" encoding="utf-8"?>
<worksheet xmlns="http://schemas.openxmlformats.org/spreadsheetml/2006/main" xmlns:r="http://schemas.openxmlformats.org/officeDocument/2006/relationships">
  <sheetPr codeName="Sheet3"/>
  <dimension ref="A1:A118"/>
  <sheetViews>
    <sheetView workbookViewId="0">
      <selection activeCell="A124" sqref="A124"/>
    </sheetView>
  </sheetViews>
  <sheetFormatPr defaultRowHeight="15"/>
  <cols>
    <col min="1" max="1" width="200.140625" bestFit="1" customWidth="1"/>
  </cols>
  <sheetData>
    <row r="1" spans="1:1">
      <c r="A1" s="34" t="s">
        <v>61</v>
      </c>
    </row>
    <row r="2" spans="1:1">
      <c r="A2" s="35" t="s">
        <v>10</v>
      </c>
    </row>
    <row r="3" spans="1:1">
      <c r="A3" s="35" t="s">
        <v>11</v>
      </c>
    </row>
    <row r="4" spans="1:1">
      <c r="A4" s="35" t="s">
        <v>12</v>
      </c>
    </row>
    <row r="5" spans="1:1">
      <c r="A5" s="35"/>
    </row>
    <row r="6" spans="1:1">
      <c r="A6" s="35" t="s">
        <v>62</v>
      </c>
    </row>
    <row r="7" spans="1:1">
      <c r="A7" s="35"/>
    </row>
    <row r="8" spans="1:1">
      <c r="A8" s="35" t="s">
        <v>63</v>
      </c>
    </row>
    <row r="9" spans="1:1">
      <c r="A9" s="35" t="s">
        <v>64</v>
      </c>
    </row>
    <row r="10" spans="1:1">
      <c r="A10" s="35" t="s">
        <v>65</v>
      </c>
    </row>
    <row r="11" spans="1:1">
      <c r="A11" s="35" t="s">
        <v>66</v>
      </c>
    </row>
    <row r="12" spans="1:1">
      <c r="A12" s="35" t="s">
        <v>67</v>
      </c>
    </row>
    <row r="13" spans="1:1" s="14" customFormat="1">
      <c r="A13" s="35" t="s">
        <v>114</v>
      </c>
    </row>
    <row r="14" spans="1:1" s="14" customFormat="1">
      <c r="A14" s="35"/>
    </row>
    <row r="15" spans="1:1" s="14" customFormat="1">
      <c r="A15" s="35" t="s">
        <v>68</v>
      </c>
    </row>
    <row r="16" spans="1:1" s="14" customFormat="1">
      <c r="A16" s="35" t="s">
        <v>13</v>
      </c>
    </row>
    <row r="17" spans="1:1" s="14" customFormat="1">
      <c r="A17" s="35"/>
    </row>
    <row r="18" spans="1:1" s="14" customFormat="1">
      <c r="A18" s="35" t="s">
        <v>69</v>
      </c>
    </row>
    <row r="19" spans="1:1" s="14" customFormat="1">
      <c r="A19" s="35" t="s">
        <v>70</v>
      </c>
    </row>
    <row r="20" spans="1:1" s="14" customFormat="1">
      <c r="A20" s="35" t="s">
        <v>71</v>
      </c>
    </row>
    <row r="21" spans="1:1" s="14" customFormat="1">
      <c r="A21" s="35" t="s">
        <v>72</v>
      </c>
    </row>
    <row r="22" spans="1:1" s="14" customFormat="1">
      <c r="A22" s="35" t="s">
        <v>73</v>
      </c>
    </row>
    <row r="23" spans="1:1" s="14" customFormat="1">
      <c r="A23" s="35" t="s">
        <v>33</v>
      </c>
    </row>
    <row r="24" spans="1:1">
      <c r="A24" s="35"/>
    </row>
    <row r="25" spans="1:1" s="14" customFormat="1">
      <c r="A25" s="35"/>
    </row>
    <row r="26" spans="1:1" s="14" customFormat="1">
      <c r="A26" s="35" t="s">
        <v>14</v>
      </c>
    </row>
    <row r="27" spans="1:1" s="14" customFormat="1">
      <c r="A27" s="35" t="s">
        <v>74</v>
      </c>
    </row>
    <row r="28" spans="1:1" s="14" customFormat="1">
      <c r="A28" s="35" t="s">
        <v>15</v>
      </c>
    </row>
    <row r="29" spans="1:1" s="14" customFormat="1">
      <c r="A29" s="35" t="s">
        <v>16</v>
      </c>
    </row>
    <row r="30" spans="1:1">
      <c r="A30" s="35" t="s">
        <v>17</v>
      </c>
    </row>
    <row r="31" spans="1:1">
      <c r="A31" s="35" t="s">
        <v>18</v>
      </c>
    </row>
    <row r="32" spans="1:1">
      <c r="A32" s="35" t="s">
        <v>75</v>
      </c>
    </row>
    <row r="33" spans="1:1">
      <c r="A33" s="35" t="s">
        <v>19</v>
      </c>
    </row>
    <row r="34" spans="1:1">
      <c r="A34" s="35" t="s">
        <v>20</v>
      </c>
    </row>
    <row r="35" spans="1:1">
      <c r="A35" s="35" t="s">
        <v>21</v>
      </c>
    </row>
    <row r="36" spans="1:1">
      <c r="A36" s="35" t="s">
        <v>22</v>
      </c>
    </row>
    <row r="37" spans="1:1" s="13" customFormat="1">
      <c r="A37" s="35" t="s">
        <v>23</v>
      </c>
    </row>
    <row r="38" spans="1:1" s="13" customFormat="1">
      <c r="A38" s="35" t="s">
        <v>24</v>
      </c>
    </row>
    <row r="39" spans="1:1" s="13" customFormat="1">
      <c r="A39" s="35"/>
    </row>
    <row r="40" spans="1:1" s="13" customFormat="1">
      <c r="A40" s="35"/>
    </row>
    <row r="41" spans="1:1" s="13" customFormat="1">
      <c r="A41" s="35"/>
    </row>
    <row r="42" spans="1:1" s="13" customFormat="1">
      <c r="A42" s="35" t="s">
        <v>76</v>
      </c>
    </row>
    <row r="43" spans="1:1" s="13" customFormat="1">
      <c r="A43" s="35" t="s">
        <v>115</v>
      </c>
    </row>
    <row r="44" spans="1:1" s="13" customFormat="1">
      <c r="A44" s="35" t="s">
        <v>116</v>
      </c>
    </row>
    <row r="45" spans="1:1" s="13" customFormat="1">
      <c r="A45" s="35" t="s">
        <v>117</v>
      </c>
    </row>
    <row r="46" spans="1:1" s="14" customFormat="1">
      <c r="A46" s="35" t="s">
        <v>118</v>
      </c>
    </row>
    <row r="47" spans="1:1" s="14" customFormat="1">
      <c r="A47" s="35"/>
    </row>
    <row r="48" spans="1:1" s="14" customFormat="1">
      <c r="A48" s="35"/>
    </row>
    <row r="49" spans="1:1" s="14" customFormat="1">
      <c r="A49" s="35"/>
    </row>
    <row r="50" spans="1:1" s="14" customFormat="1">
      <c r="A50" s="35" t="s">
        <v>77</v>
      </c>
    </row>
    <row r="51" spans="1:1" s="14" customFormat="1">
      <c r="A51" s="35" t="s">
        <v>34</v>
      </c>
    </row>
    <row r="52" spans="1:1" s="14" customFormat="1">
      <c r="A52" s="35" t="s">
        <v>78</v>
      </c>
    </row>
    <row r="53" spans="1:1" s="14" customFormat="1">
      <c r="A53" s="35" t="s">
        <v>79</v>
      </c>
    </row>
    <row r="54" spans="1:1" s="13" customFormat="1">
      <c r="A54" s="35"/>
    </row>
    <row r="55" spans="1:1" s="13" customFormat="1">
      <c r="A55" s="35" t="s">
        <v>80</v>
      </c>
    </row>
    <row r="56" spans="1:1" s="13" customFormat="1">
      <c r="A56" s="35" t="s">
        <v>81</v>
      </c>
    </row>
    <row r="57" spans="1:1" s="13" customFormat="1">
      <c r="A57" s="35" t="s">
        <v>82</v>
      </c>
    </row>
    <row r="58" spans="1:1" s="13" customFormat="1">
      <c r="A58" s="35" t="s">
        <v>83</v>
      </c>
    </row>
    <row r="59" spans="1:1" s="13" customFormat="1">
      <c r="A59" s="35"/>
    </row>
    <row r="60" spans="1:1" s="14" customFormat="1">
      <c r="A60" s="35"/>
    </row>
    <row r="61" spans="1:1" s="13" customFormat="1">
      <c r="A61" s="35" t="s">
        <v>84</v>
      </c>
    </row>
    <row r="62" spans="1:1" s="13" customFormat="1">
      <c r="A62" s="35" t="s">
        <v>85</v>
      </c>
    </row>
    <row r="63" spans="1:1" s="13" customFormat="1">
      <c r="A63" s="35" t="s">
        <v>86</v>
      </c>
    </row>
    <row r="64" spans="1:1" s="13" customFormat="1">
      <c r="A64" s="35"/>
    </row>
    <row r="65" spans="1:1" s="13" customFormat="1">
      <c r="A65" s="35" t="s">
        <v>87</v>
      </c>
    </row>
    <row r="66" spans="1:1" s="13" customFormat="1">
      <c r="A66" s="35" t="s">
        <v>88</v>
      </c>
    </row>
    <row r="67" spans="1:1" s="13" customFormat="1">
      <c r="A67" s="35"/>
    </row>
    <row r="68" spans="1:1" s="13" customFormat="1">
      <c r="A68" s="35" t="s">
        <v>89</v>
      </c>
    </row>
    <row r="69" spans="1:1" s="13" customFormat="1">
      <c r="A69" s="35" t="s">
        <v>90</v>
      </c>
    </row>
    <row r="70" spans="1:1" s="13" customFormat="1">
      <c r="A70" s="35"/>
    </row>
    <row r="71" spans="1:1" s="13" customFormat="1">
      <c r="A71" s="35" t="s">
        <v>91</v>
      </c>
    </row>
    <row r="72" spans="1:1" s="13" customFormat="1">
      <c r="A72" s="35" t="s">
        <v>92</v>
      </c>
    </row>
    <row r="73" spans="1:1" s="13" customFormat="1">
      <c r="A73" s="35"/>
    </row>
    <row r="74" spans="1:1" s="13" customFormat="1">
      <c r="A74" s="35"/>
    </row>
    <row r="75" spans="1:1" s="13" customFormat="1">
      <c r="A75" s="35" t="s">
        <v>25</v>
      </c>
    </row>
    <row r="76" spans="1:1" s="14" customFormat="1">
      <c r="A76" s="35"/>
    </row>
    <row r="77" spans="1:1" s="14" customFormat="1">
      <c r="A77" s="35" t="s">
        <v>93</v>
      </c>
    </row>
    <row r="78" spans="1:1" s="13" customFormat="1">
      <c r="A78" s="35" t="s">
        <v>94</v>
      </c>
    </row>
    <row r="79" spans="1:1" s="13" customFormat="1">
      <c r="A79" s="35"/>
    </row>
    <row r="80" spans="1:1" s="13" customFormat="1">
      <c r="A80" s="35" t="s">
        <v>95</v>
      </c>
    </row>
    <row r="81" spans="1:1" s="13" customFormat="1">
      <c r="A81" s="35" t="s">
        <v>96</v>
      </c>
    </row>
    <row r="82" spans="1:1">
      <c r="A82" s="35"/>
    </row>
    <row r="83" spans="1:1">
      <c r="A83" s="35" t="s">
        <v>97</v>
      </c>
    </row>
    <row r="84" spans="1:1">
      <c r="A84" s="35" t="s">
        <v>98</v>
      </c>
    </row>
    <row r="85" spans="1:1">
      <c r="A85" s="35"/>
    </row>
    <row r="86" spans="1:1">
      <c r="A86" s="35" t="s">
        <v>99</v>
      </c>
    </row>
    <row r="87" spans="1:1">
      <c r="A87" s="35" t="s">
        <v>100</v>
      </c>
    </row>
    <row r="88" spans="1:1">
      <c r="A88" s="35"/>
    </row>
    <row r="89" spans="1:1">
      <c r="A89" s="35"/>
    </row>
    <row r="90" spans="1:1">
      <c r="A90" s="35"/>
    </row>
    <row r="91" spans="1:1">
      <c r="A91" s="35" t="s">
        <v>26</v>
      </c>
    </row>
    <row r="92" spans="1:1">
      <c r="A92" s="35" t="s">
        <v>101</v>
      </c>
    </row>
    <row r="93" spans="1:1">
      <c r="A93" s="35" t="s">
        <v>102</v>
      </c>
    </row>
    <row r="94" spans="1:1">
      <c r="A94" s="35"/>
    </row>
    <row r="95" spans="1:1">
      <c r="A95" s="35"/>
    </row>
    <row r="96" spans="1:1">
      <c r="A96" s="35" t="s">
        <v>31</v>
      </c>
    </row>
    <row r="97" spans="1:1">
      <c r="A97" s="35" t="s">
        <v>35</v>
      </c>
    </row>
    <row r="98" spans="1:1">
      <c r="A98" s="35" t="s">
        <v>103</v>
      </c>
    </row>
    <row r="99" spans="1:1">
      <c r="A99" s="35"/>
    </row>
    <row r="100" spans="1:1">
      <c r="A100" s="35"/>
    </row>
    <row r="101" spans="1:1">
      <c r="A101" s="35" t="s">
        <v>36</v>
      </c>
    </row>
    <row r="102" spans="1:1">
      <c r="A102" s="35" t="s">
        <v>104</v>
      </c>
    </row>
    <row r="103" spans="1:1">
      <c r="A103" s="35"/>
    </row>
    <row r="104" spans="1:1">
      <c r="A104" s="35" t="s">
        <v>105</v>
      </c>
    </row>
    <row r="105" spans="1:1">
      <c r="A105" s="35" t="s">
        <v>106</v>
      </c>
    </row>
    <row r="106" spans="1:1">
      <c r="A106" s="35"/>
    </row>
    <row r="107" spans="1:1">
      <c r="A107" s="35" t="s">
        <v>119</v>
      </c>
    </row>
    <row r="108" spans="1:1">
      <c r="A108" s="35" t="s">
        <v>123</v>
      </c>
    </row>
    <row r="109" spans="1:1">
      <c r="A109" s="35" t="s">
        <v>124</v>
      </c>
    </row>
    <row r="110" spans="1:1">
      <c r="A110" s="35" t="s">
        <v>125</v>
      </c>
    </row>
    <row r="111" spans="1:1">
      <c r="A111" s="35" t="s">
        <v>126</v>
      </c>
    </row>
    <row r="112" spans="1:1">
      <c r="A112" s="35" t="s">
        <v>127</v>
      </c>
    </row>
    <row r="113" spans="1:1">
      <c r="A113" s="35" t="s">
        <v>128</v>
      </c>
    </row>
    <row r="114" spans="1:1">
      <c r="A114" s="35"/>
    </row>
    <row r="115" spans="1:1">
      <c r="A115" s="35" t="s">
        <v>129</v>
      </c>
    </row>
    <row r="116" spans="1:1">
      <c r="A116" s="35" t="s">
        <v>130</v>
      </c>
    </row>
    <row r="117" spans="1:1">
      <c r="A117" s="35"/>
    </row>
    <row r="118" spans="1:1" ht="15.75" thickBot="1">
      <c r="A118" s="69" t="s">
        <v>131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4"/>
  <dimension ref="A1:N33"/>
  <sheetViews>
    <sheetView topLeftCell="A17" workbookViewId="0">
      <selection activeCell="U32" sqref="U32"/>
    </sheetView>
  </sheetViews>
  <sheetFormatPr defaultRowHeight="15"/>
  <sheetData>
    <row r="1" spans="1:14">
      <c r="A1" s="70"/>
      <c r="B1" s="22"/>
      <c r="C1" s="22"/>
      <c r="D1" s="22"/>
      <c r="E1" s="22"/>
      <c r="F1" s="22"/>
      <c r="G1" s="22"/>
      <c r="H1" s="22"/>
      <c r="I1" s="22"/>
      <c r="J1" s="22"/>
      <c r="K1" s="22"/>
      <c r="L1" s="22"/>
      <c r="M1" s="22"/>
      <c r="N1" s="23"/>
    </row>
    <row r="2" spans="1:14">
      <c r="A2" s="38"/>
      <c r="B2" s="39"/>
      <c r="C2" s="39"/>
      <c r="D2" s="39"/>
      <c r="E2" s="39"/>
      <c r="F2" s="39"/>
      <c r="G2" s="39"/>
      <c r="H2" s="39"/>
      <c r="I2" s="39"/>
      <c r="J2" s="39"/>
      <c r="K2" s="39"/>
      <c r="L2" s="39"/>
      <c r="M2" s="39"/>
      <c r="N2" s="40"/>
    </row>
    <row r="3" spans="1:14">
      <c r="A3" s="38"/>
      <c r="B3" s="39"/>
      <c r="C3" s="39"/>
      <c r="D3" s="39"/>
      <c r="E3" s="39"/>
      <c r="F3" s="39"/>
      <c r="G3" s="39"/>
      <c r="H3" s="39"/>
      <c r="I3" s="39"/>
      <c r="J3" s="39"/>
      <c r="K3" s="39"/>
      <c r="L3" s="39"/>
      <c r="M3" s="39"/>
      <c r="N3" s="40"/>
    </row>
    <row r="4" spans="1:14">
      <c r="A4" s="38"/>
      <c r="B4" s="39"/>
      <c r="C4" s="39"/>
      <c r="D4" s="39"/>
      <c r="E4" s="39"/>
      <c r="F4" s="39"/>
      <c r="G4" s="39"/>
      <c r="H4" s="39"/>
      <c r="I4" s="39"/>
      <c r="J4" s="39"/>
      <c r="K4" s="39"/>
      <c r="L4" s="39"/>
      <c r="M4" s="39"/>
      <c r="N4" s="40"/>
    </row>
    <row r="5" spans="1:14">
      <c r="A5" s="38"/>
      <c r="B5" s="39"/>
      <c r="C5" s="39"/>
      <c r="D5" s="39"/>
      <c r="E5" s="39"/>
      <c r="F5" s="39"/>
      <c r="G5" s="39"/>
      <c r="H5" s="39"/>
      <c r="I5" s="39"/>
      <c r="J5" s="39"/>
      <c r="K5" s="39"/>
      <c r="L5" s="39"/>
      <c r="M5" s="39"/>
      <c r="N5" s="40"/>
    </row>
    <row r="6" spans="1:14">
      <c r="A6" s="38"/>
      <c r="B6" s="39"/>
      <c r="C6" s="39"/>
      <c r="D6" s="39"/>
      <c r="E6" s="39"/>
      <c r="F6" s="39"/>
      <c r="G6" s="39"/>
      <c r="H6" s="39"/>
      <c r="I6" s="39"/>
      <c r="J6" s="39"/>
      <c r="K6" s="39"/>
      <c r="L6" s="39"/>
      <c r="M6" s="39"/>
      <c r="N6" s="40"/>
    </row>
    <row r="7" spans="1:14">
      <c r="A7" s="38"/>
      <c r="B7" s="39"/>
      <c r="C7" s="39"/>
      <c r="D7" s="39"/>
      <c r="E7" s="39"/>
      <c r="F7" s="39"/>
      <c r="G7" s="39"/>
      <c r="H7" s="39"/>
      <c r="I7" s="39"/>
      <c r="J7" s="39"/>
      <c r="K7" s="39"/>
      <c r="L7" s="39"/>
      <c r="M7" s="39"/>
      <c r="N7" s="40"/>
    </row>
    <row r="8" spans="1:14">
      <c r="A8" s="38"/>
      <c r="B8" s="39"/>
      <c r="C8" s="39"/>
      <c r="D8" s="39"/>
      <c r="E8" s="39"/>
      <c r="F8" s="39"/>
      <c r="G8" s="39"/>
      <c r="H8" s="39"/>
      <c r="I8" s="39"/>
      <c r="J8" s="39"/>
      <c r="K8" s="39"/>
      <c r="L8" s="39"/>
      <c r="M8" s="39"/>
      <c r="N8" s="40"/>
    </row>
    <row r="9" spans="1:14">
      <c r="A9" s="38"/>
      <c r="B9" s="39"/>
      <c r="C9" s="39"/>
      <c r="D9" s="39"/>
      <c r="E9" s="39"/>
      <c r="F9" s="39"/>
      <c r="G9" s="39"/>
      <c r="H9" s="39"/>
      <c r="I9" s="39"/>
      <c r="J9" s="39"/>
      <c r="K9" s="39"/>
      <c r="L9" s="39"/>
      <c r="M9" s="39"/>
      <c r="N9" s="40"/>
    </row>
    <row r="10" spans="1:14">
      <c r="A10" s="38"/>
      <c r="B10" s="39"/>
      <c r="C10" s="39"/>
      <c r="D10" s="39"/>
      <c r="E10" s="39"/>
      <c r="F10" s="39"/>
      <c r="G10" s="39"/>
      <c r="H10" s="39"/>
      <c r="I10" s="39"/>
      <c r="J10" s="39"/>
      <c r="K10" s="39"/>
      <c r="L10" s="39"/>
      <c r="M10" s="39"/>
      <c r="N10" s="40"/>
    </row>
    <row r="11" spans="1:14">
      <c r="A11" s="38"/>
      <c r="B11" s="39"/>
      <c r="C11" s="39"/>
      <c r="D11" s="39"/>
      <c r="E11" s="39"/>
      <c r="F11" s="39"/>
      <c r="G11" s="39"/>
      <c r="H11" s="39"/>
      <c r="I11" s="39"/>
      <c r="J11" s="39"/>
      <c r="K11" s="39"/>
      <c r="L11" s="39"/>
      <c r="M11" s="39"/>
      <c r="N11" s="40"/>
    </row>
    <row r="12" spans="1:14">
      <c r="A12" s="38"/>
      <c r="B12" s="39"/>
      <c r="C12" s="39"/>
      <c r="D12" s="39"/>
      <c r="E12" s="39"/>
      <c r="F12" s="39"/>
      <c r="G12" s="39"/>
      <c r="H12" s="39"/>
      <c r="I12" s="39"/>
      <c r="J12" s="39"/>
      <c r="K12" s="39"/>
      <c r="L12" s="39"/>
      <c r="M12" s="39"/>
      <c r="N12" s="40"/>
    </row>
    <row r="13" spans="1:14">
      <c r="A13" s="38"/>
      <c r="B13" s="39"/>
      <c r="C13" s="39"/>
      <c r="D13" s="39"/>
      <c r="E13" s="39"/>
      <c r="F13" s="39"/>
      <c r="G13" s="39"/>
      <c r="H13" s="39"/>
      <c r="I13" s="39"/>
      <c r="J13" s="39"/>
      <c r="K13" s="39"/>
      <c r="L13" s="39"/>
      <c r="M13" s="39"/>
      <c r="N13" s="40"/>
    </row>
    <row r="14" spans="1:14">
      <c r="A14" s="38"/>
      <c r="B14" s="39"/>
      <c r="C14" s="39"/>
      <c r="D14" s="39"/>
      <c r="E14" s="39"/>
      <c r="F14" s="39"/>
      <c r="G14" s="39"/>
      <c r="H14" s="39"/>
      <c r="I14" s="39"/>
      <c r="J14" s="39"/>
      <c r="K14" s="39"/>
      <c r="L14" s="39"/>
      <c r="M14" s="39"/>
      <c r="N14" s="40"/>
    </row>
    <row r="15" spans="1:14">
      <c r="A15" s="38"/>
      <c r="B15" s="39"/>
      <c r="C15" s="39"/>
      <c r="D15" s="39"/>
      <c r="E15" s="39"/>
      <c r="F15" s="39"/>
      <c r="G15" s="39"/>
      <c r="H15" s="39"/>
      <c r="I15" s="39"/>
      <c r="J15" s="39"/>
      <c r="K15" s="39"/>
      <c r="L15" s="39"/>
      <c r="M15" s="39"/>
      <c r="N15" s="40"/>
    </row>
    <row r="16" spans="1:14">
      <c r="A16" s="38"/>
      <c r="B16" s="39"/>
      <c r="C16" s="39"/>
      <c r="D16" s="39"/>
      <c r="E16" s="39"/>
      <c r="F16" s="39"/>
      <c r="G16" s="39"/>
      <c r="H16" s="39"/>
      <c r="I16" s="39"/>
      <c r="J16" s="39"/>
      <c r="K16" s="39"/>
      <c r="L16" s="39"/>
      <c r="M16" s="39"/>
      <c r="N16" s="40"/>
    </row>
    <row r="17" spans="1:14">
      <c r="A17" s="38"/>
      <c r="B17" s="39"/>
      <c r="C17" s="39"/>
      <c r="D17" s="39"/>
      <c r="E17" s="39"/>
      <c r="F17" s="39"/>
      <c r="G17" s="39"/>
      <c r="H17" s="39"/>
      <c r="I17" s="39"/>
      <c r="J17" s="39"/>
      <c r="K17" s="39"/>
      <c r="L17" s="39"/>
      <c r="M17" s="39"/>
      <c r="N17" s="40"/>
    </row>
    <row r="18" spans="1:14">
      <c r="A18" s="38"/>
      <c r="B18" s="39"/>
      <c r="C18" s="39"/>
      <c r="D18" s="39"/>
      <c r="E18" s="39"/>
      <c r="F18" s="39"/>
      <c r="G18" s="39"/>
      <c r="H18" s="39"/>
      <c r="I18" s="39"/>
      <c r="J18" s="39"/>
      <c r="K18" s="39"/>
      <c r="L18" s="39"/>
      <c r="M18" s="39"/>
      <c r="N18" s="40"/>
    </row>
    <row r="19" spans="1:14">
      <c r="A19" s="38"/>
      <c r="B19" s="39"/>
      <c r="C19" s="39"/>
      <c r="D19" s="39"/>
      <c r="E19" s="39"/>
      <c r="F19" s="39"/>
      <c r="G19" s="39"/>
      <c r="H19" s="39"/>
      <c r="I19" s="39"/>
      <c r="J19" s="39"/>
      <c r="K19" s="39"/>
      <c r="L19" s="39"/>
      <c r="M19" s="39"/>
      <c r="N19" s="40"/>
    </row>
    <row r="20" spans="1:14">
      <c r="A20" s="38"/>
      <c r="B20" s="39"/>
      <c r="C20" s="39"/>
      <c r="D20" s="39"/>
      <c r="E20" s="39"/>
      <c r="F20" s="39"/>
      <c r="G20" s="39"/>
      <c r="H20" s="39"/>
      <c r="I20" s="39"/>
      <c r="J20" s="39"/>
      <c r="K20" s="39"/>
      <c r="L20" s="39"/>
      <c r="M20" s="39"/>
      <c r="N20" s="40"/>
    </row>
    <row r="21" spans="1:14">
      <c r="A21" s="38"/>
      <c r="B21" s="39"/>
      <c r="C21" s="39"/>
      <c r="D21" s="39"/>
      <c r="E21" s="39"/>
      <c r="F21" s="39"/>
      <c r="G21" s="39"/>
      <c r="H21" s="39"/>
      <c r="I21" s="39"/>
      <c r="J21" s="39"/>
      <c r="K21" s="39"/>
      <c r="L21" s="39"/>
      <c r="M21" s="39"/>
      <c r="N21" s="40"/>
    </row>
    <row r="22" spans="1:14">
      <c r="A22" s="38"/>
      <c r="B22" s="39"/>
      <c r="C22" s="39"/>
      <c r="D22" s="39"/>
      <c r="E22" s="39"/>
      <c r="F22" s="39"/>
      <c r="G22" s="39"/>
      <c r="H22" s="39"/>
      <c r="I22" s="39"/>
      <c r="J22" s="39"/>
      <c r="K22" s="39"/>
      <c r="L22" s="39"/>
      <c r="M22" s="39"/>
      <c r="N22" s="40"/>
    </row>
    <row r="23" spans="1:14">
      <c r="A23" s="38"/>
      <c r="B23" s="39"/>
      <c r="C23" s="39"/>
      <c r="D23" s="39"/>
      <c r="E23" s="39"/>
      <c r="F23" s="39"/>
      <c r="G23" s="39"/>
      <c r="H23" s="39"/>
      <c r="I23" s="39"/>
      <c r="J23" s="39"/>
      <c r="K23" s="39"/>
      <c r="L23" s="39"/>
      <c r="M23" s="39"/>
      <c r="N23" s="40"/>
    </row>
    <row r="24" spans="1:14">
      <c r="A24" s="38"/>
      <c r="B24" s="39"/>
      <c r="C24" s="39"/>
      <c r="D24" s="39"/>
      <c r="E24" s="39"/>
      <c r="F24" s="39"/>
      <c r="G24" s="39"/>
      <c r="H24" s="39"/>
      <c r="I24" s="39"/>
      <c r="J24" s="39"/>
      <c r="K24" s="39"/>
      <c r="L24" s="39"/>
      <c r="M24" s="39"/>
      <c r="N24" s="40"/>
    </row>
    <row r="25" spans="1:14">
      <c r="A25" s="38"/>
      <c r="B25" s="39"/>
      <c r="C25" s="39"/>
      <c r="D25" s="39"/>
      <c r="E25" s="39"/>
      <c r="F25" s="39"/>
      <c r="G25" s="39"/>
      <c r="H25" s="39"/>
      <c r="I25" s="39"/>
      <c r="J25" s="39"/>
      <c r="K25" s="39"/>
      <c r="L25" s="39"/>
      <c r="M25" s="39"/>
      <c r="N25" s="40"/>
    </row>
    <row r="26" spans="1:14">
      <c r="A26" s="38"/>
      <c r="B26" s="39"/>
      <c r="C26" s="39"/>
      <c r="D26" s="39"/>
      <c r="E26" s="39"/>
      <c r="F26" s="39"/>
      <c r="G26" s="39"/>
      <c r="H26" s="39"/>
      <c r="I26" s="39"/>
      <c r="J26" s="39"/>
      <c r="K26" s="39"/>
      <c r="L26" s="39"/>
      <c r="M26" s="39"/>
      <c r="N26" s="40"/>
    </row>
    <row r="27" spans="1:14">
      <c r="A27" s="38"/>
      <c r="B27" s="39"/>
      <c r="C27" s="39"/>
      <c r="D27" s="39"/>
      <c r="E27" s="39"/>
      <c r="F27" s="39"/>
      <c r="G27" s="39"/>
      <c r="H27" s="39"/>
      <c r="I27" s="39"/>
      <c r="J27" s="39"/>
      <c r="K27" s="39"/>
      <c r="L27" s="39"/>
      <c r="M27" s="39"/>
      <c r="N27" s="40"/>
    </row>
    <row r="28" spans="1:14">
      <c r="A28" s="38"/>
      <c r="B28" s="39"/>
      <c r="C28" s="39"/>
      <c r="D28" s="39"/>
      <c r="E28" s="39"/>
      <c r="F28" s="39"/>
      <c r="G28" s="39"/>
      <c r="H28" s="39"/>
      <c r="I28" s="39"/>
      <c r="J28" s="39"/>
      <c r="K28" s="39"/>
      <c r="L28" s="39"/>
      <c r="M28" s="39"/>
      <c r="N28" s="40"/>
    </row>
    <row r="29" spans="1:14">
      <c r="A29" s="38"/>
      <c r="B29" s="39"/>
      <c r="C29" s="39"/>
      <c r="D29" s="39"/>
      <c r="E29" s="39"/>
      <c r="F29" s="39"/>
      <c r="G29" s="39"/>
      <c r="H29" s="39"/>
      <c r="I29" s="39"/>
      <c r="J29" s="39"/>
      <c r="K29" s="39"/>
      <c r="L29" s="39"/>
      <c r="M29" s="39"/>
      <c r="N29" s="40"/>
    </row>
    <row r="30" spans="1:14">
      <c r="A30" s="38"/>
      <c r="B30" s="39"/>
      <c r="C30" s="39"/>
      <c r="D30" s="39"/>
      <c r="E30" s="39"/>
      <c r="F30" s="39"/>
      <c r="G30" s="39"/>
      <c r="H30" s="39"/>
      <c r="I30" s="39"/>
      <c r="J30" s="39"/>
      <c r="K30" s="39"/>
      <c r="L30" s="39"/>
      <c r="M30" s="39"/>
      <c r="N30" s="40"/>
    </row>
    <row r="31" spans="1:14">
      <c r="A31" s="38"/>
      <c r="B31" s="39"/>
      <c r="C31" s="39"/>
      <c r="D31" s="39"/>
      <c r="E31" s="39"/>
      <c r="F31" s="39"/>
      <c r="G31" s="39"/>
      <c r="H31" s="39"/>
      <c r="I31" s="39"/>
      <c r="J31" s="39"/>
      <c r="K31" s="39"/>
      <c r="L31" s="39"/>
      <c r="M31" s="39"/>
      <c r="N31" s="40"/>
    </row>
    <row r="32" spans="1:14">
      <c r="A32" s="38"/>
      <c r="B32" s="39"/>
      <c r="C32" s="39"/>
      <c r="D32" s="39"/>
      <c r="E32" s="39"/>
      <c r="F32" s="39"/>
      <c r="G32" s="39"/>
      <c r="H32" s="39"/>
      <c r="I32" s="39"/>
      <c r="J32" s="39"/>
      <c r="K32" s="39"/>
      <c r="L32" s="39"/>
      <c r="M32" s="39"/>
      <c r="N32" s="40"/>
    </row>
    <row r="33" spans="1:14" ht="15.75" thickBot="1">
      <c r="A33" s="46"/>
      <c r="B33" s="47"/>
      <c r="C33" s="47"/>
      <c r="D33" s="47"/>
      <c r="E33" s="47"/>
      <c r="F33" s="47"/>
      <c r="G33" s="47"/>
      <c r="H33" s="47"/>
      <c r="I33" s="47"/>
      <c r="J33" s="47"/>
      <c r="K33" s="47"/>
      <c r="L33" s="47"/>
      <c r="M33" s="47"/>
      <c r="N33" s="48"/>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Introduction</vt:lpstr>
      <vt:lpstr>Instructions</vt:lpstr>
      <vt:lpstr>Annexure 1_PFD</vt:lpstr>
      <vt:lpstr>Annexure_2_Input_table</vt:lpstr>
      <vt:lpstr>Annexure_3_output_table</vt:lpstr>
      <vt:lpstr>Annexure_4_VBA Code</vt:lpstr>
      <vt:lpstr>Annexure_5_HYSYS_Snapshot</vt:lpstr>
      <vt:lpstr>'Annexure 1_PFD'!Print_Area</vt:lpstr>
      <vt:lpstr>Annexure_2_Input_table!Print_Area</vt:lpstr>
      <vt:lpstr>Annexure_3_output_table!Print_Area</vt:lpstr>
      <vt:lpstr>Instructions!Print_Area</vt:lpstr>
      <vt:lpstr>Introduction!Print_Area</vt:lpstr>
    </vt:vector>
  </TitlesOfParts>
  <Company>Q-Chem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asatpute</dc:creator>
  <cp:lastModifiedBy>USER</cp:lastModifiedBy>
  <cp:lastPrinted>2013-11-02T07:45:41Z</cp:lastPrinted>
  <dcterms:created xsi:type="dcterms:W3CDTF">2013-05-30T06:31:51Z</dcterms:created>
  <dcterms:modified xsi:type="dcterms:W3CDTF">2013-11-02T07:45:43Z</dcterms:modified>
</cp:coreProperties>
</file>