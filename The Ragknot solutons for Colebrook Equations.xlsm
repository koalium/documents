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45" windowWidth="20640" windowHeight="10110"/>
  </bookViews>
  <sheets>
    <sheet name="Sheet1" sheetId="1" r:id="rId1"/>
    <sheet name="Sheet2" sheetId="2" r:id="rId2"/>
    <sheet name="Sheet3" sheetId="3" r:id="rId3"/>
  </sheets>
  <definedNames>
    <definedName name="Re" localSheetId="0">Sheet1!$F$38</definedName>
    <definedName name="Rr" localSheetId="0">Sheet1!$F$39</definedName>
  </definedNames>
  <calcPr calcId="125725"/>
</workbook>
</file>

<file path=xl/calcChain.xml><?xml version="1.0" encoding="utf-8"?>
<calcChain xmlns="http://schemas.openxmlformats.org/spreadsheetml/2006/main">
  <c r="F39" i="1"/>
  <c r="F38"/>
  <c r="G145"/>
  <c r="G111"/>
  <c r="G81"/>
  <c r="G42"/>
  <c r="C152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19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87"/>
  <c r="C186"/>
  <c r="C184"/>
  <c r="C179"/>
  <c r="C185"/>
  <c r="C183"/>
  <c r="C181"/>
  <c r="C178"/>
  <c r="C182"/>
  <c r="C180"/>
  <c r="D147" l="1"/>
  <c r="D148" s="1"/>
  <c r="D114"/>
  <c r="D83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5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E71" s="1"/>
  <c r="E178"/>
  <c r="E180"/>
  <c r="E181"/>
  <c r="E182"/>
  <c r="E183"/>
  <c r="E184"/>
  <c r="E185"/>
  <c r="E186"/>
  <c r="E187"/>
  <c r="E179"/>
  <c r="K115" l="1"/>
  <c r="K114"/>
  <c r="D149"/>
  <c r="D115"/>
  <c r="K116" s="1"/>
  <c r="D101"/>
  <c r="D102" s="1"/>
  <c r="E103" s="1"/>
  <c r="D150" l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L116"/>
  <c r="M116" s="1"/>
  <c r="M115"/>
  <c r="D116"/>
  <c r="C88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F150" l="1"/>
  <c r="K117"/>
  <c r="L117" s="1"/>
  <c r="M117" s="1"/>
  <c r="E167"/>
  <c r="F170" s="1"/>
  <c r="D117"/>
  <c r="K118" s="1"/>
  <c r="F106"/>
  <c r="E106"/>
  <c r="L118" l="1"/>
  <c r="M118" s="1"/>
  <c r="E170"/>
  <c r="G170" s="1"/>
  <c r="D118"/>
  <c r="G106"/>
  <c r="F74"/>
  <c r="K119" l="1"/>
  <c r="F117"/>
  <c r="D119"/>
  <c r="E74"/>
  <c r="L119" l="1"/>
  <c r="M119" s="1"/>
  <c r="K120"/>
  <c r="D120"/>
  <c r="K121" s="1"/>
  <c r="G74"/>
  <c r="L121" l="1"/>
  <c r="L120"/>
  <c r="M120" s="1"/>
  <c r="D121"/>
  <c r="M121" l="1"/>
  <c r="K122"/>
  <c r="D122"/>
  <c r="L122" l="1"/>
  <c r="M122" s="1"/>
  <c r="K123"/>
  <c r="D123"/>
  <c r="K124" s="1"/>
  <c r="L124" l="1"/>
  <c r="L123"/>
  <c r="M123" s="1"/>
  <c r="D124"/>
  <c r="K125" s="1"/>
  <c r="L125" s="1"/>
  <c r="M124" l="1"/>
  <c r="M125"/>
  <c r="D125"/>
  <c r="K126" s="1"/>
  <c r="L126" s="1"/>
  <c r="M126" s="1"/>
  <c r="D126" l="1"/>
  <c r="K127" l="1"/>
  <c r="D127"/>
  <c r="L127" l="1"/>
  <c r="M127" s="1"/>
  <c r="K128"/>
  <c r="D128"/>
  <c r="K129" s="1"/>
  <c r="L129" l="1"/>
  <c r="M129" s="1"/>
  <c r="L128"/>
  <c r="M128" s="1"/>
  <c r="D129"/>
  <c r="K130" s="1"/>
  <c r="L130" s="1"/>
  <c r="M130" s="1"/>
  <c r="D130" l="1"/>
  <c r="K131" l="1"/>
  <c r="D131"/>
  <c r="K132" s="1"/>
  <c r="L132" l="1"/>
  <c r="L131"/>
  <c r="M131" s="1"/>
  <c r="D132"/>
  <c r="K133" s="1"/>
  <c r="L133" s="1"/>
  <c r="M133" s="1"/>
  <c r="M132" l="1"/>
  <c r="D133"/>
  <c r="E134" l="1"/>
  <c r="E137" s="1"/>
  <c r="F137" l="1"/>
  <c r="G137" s="1"/>
</calcChain>
</file>

<file path=xl/sharedStrings.xml><?xml version="1.0" encoding="utf-8"?>
<sst xmlns="http://schemas.openxmlformats.org/spreadsheetml/2006/main" count="159" uniqueCount="126">
  <si>
    <t>Colebrook-White equation is the currently accepted world standard</t>
  </si>
  <si>
    <t>by Harrell Geron, USDA</t>
  </si>
  <si>
    <t>Mode 2.51</t>
  </si>
  <si>
    <t>Mode 9.35</t>
  </si>
  <si>
    <t>Mode 1.14</t>
  </si>
  <si>
    <t>Mode 1.74</t>
  </si>
  <si>
    <t>There are at least four different "Implicit" Equations for the solution or approximation of the Colebrook-White Equation</t>
  </si>
  <si>
    <t>procedures for finding the "f" in these equations.  I thought "out of the box" and found a solution I will share with you.</t>
  </si>
  <si>
    <t>I prefer to use VBA functions, but many Excel users perfer not to do that.  So I will show you a very simple solution you</t>
  </si>
  <si>
    <t>can use in Excel spreadsheets.  It is so simple, the same simple solutions works on all four of these equations… just take</t>
  </si>
  <si>
    <t>your pick.  The one I call Mode 2.51 is the one most popular, but Mode 9.35 seems to be the one used by Professional</t>
  </si>
  <si>
    <t>pipe companies. But the difference is so slight, it is probably smaller that it makes little or no difference.</t>
  </si>
  <si>
    <t>First I want to tell you, this simple procedure beats each Professional method I have found to test except one.</t>
  </si>
  <si>
    <t>One company sometimes ties with me on what I call the "best solution".  "Best" because Excel can only compute 15 or16</t>
  </si>
  <si>
    <t>decimal places.  But if you computer could compute thousand of decimal places, this simple procedure would get that</t>
  </si>
  <si>
    <t>many places of accuracy.</t>
  </si>
  <si>
    <t>"Trick of Mind" - How much bigger is "1/sqrt(f)" larger than "f".   I think it's about 50 or 60 times bigger. But the exact number</t>
  </si>
  <si>
    <t>is not to important.  Think of a funnel with the larger opening about 60 times bigger than the pointed end.</t>
  </si>
  <si>
    <t>Ok, we will take a guess at the value of "1/sqrt(f)" and "pour" it into the top. The funnel will increase the "accuracy" of hitting</t>
  </si>
  <si>
    <t>the target by about 60 times. If the funnel goes into another funnel also 60 times smaller… Well, we can see with several funnels</t>
  </si>
  <si>
    <t>getting closer and closer well will hit the smallest target with just a few loops.</t>
  </si>
  <si>
    <t>Next, the equations about have been re-written to work in Excel spreadsheets.  We will copy one of the equations a see my trick of mind.</t>
  </si>
  <si>
    <t>You can choose the one you want or need to use.</t>
  </si>
  <si>
    <t>Min</t>
  </si>
  <si>
    <t>Max</t>
  </si>
  <si>
    <t>Decimals</t>
  </si>
  <si>
    <t>Below is a generator to give us "random" values for a Reynolds Number and a Relative Roughness value.</t>
  </si>
  <si>
    <t>You can enter your own values it you would like.  Pressing F9 will generate new values for testing.</t>
  </si>
  <si>
    <t>Let use the Mode 2.51, first.</t>
  </si>
  <si>
    <t>Copy the equation to here &gt;&gt;</t>
  </si>
  <si>
    <t>We will just use the right side of the equation.  I have already assigned the variables of Re and Rr to the values in the random generator.</t>
  </si>
  <si>
    <t>Now copy it again, and lets edit it like I show you below.</t>
  </si>
  <si>
    <t>several lines.  The maximum ever needed</t>
  </si>
  <si>
    <t>would be 20, but the average need is seven</t>
  </si>
  <si>
    <t>I have selected a red background if the number is exactly like the one above it.</t>
  </si>
  <si>
    <t>So then what is f?</t>
  </si>
  <si>
    <t>Darcy f =</t>
  </si>
  <si>
    <t>help users do this simple procedure for my method to get quick, simple solutions.</t>
  </si>
  <si>
    <t>If you press F9 you will see different values for the right side of the equation, it the sqrt(f) was 3, using the Re and Rr from the generator.</t>
  </si>
  <si>
    <t>Reynolds Number, Re</t>
  </si>
  <si>
    <t>Relative Rouchness Rr</t>
  </si>
  <si>
    <t>Value</t>
  </si>
  <si>
    <t>Equal ?</t>
  </si>
  <si>
    <t>Left side of EQ.</t>
  </si>
  <si>
    <t>Right  side of EQ.</t>
  </si>
  <si>
    <t>"f" will be …  1/(result found squared)</t>
  </si>
  <si>
    <t>Loop 20</t>
  </si>
  <si>
    <t>Examine the equations, made sure the right side has the Darcy f inside the 1/sqrt(f).</t>
  </si>
  <si>
    <t>=Darcyf(Re, Rr, 2.51)</t>
  </si>
  <si>
    <t>=Darcyf(Re, Rr, 9.35)</t>
  </si>
  <si>
    <t>=Darcyf(Re, Rr, 1.14)</t>
  </si>
  <si>
    <t>=Darcyf(Re, Rr, 1.74)</t>
  </si>
  <si>
    <t>=Swamee(re, rr)</t>
  </si>
  <si>
    <t>=Serghide(re, rr)</t>
  </si>
  <si>
    <t>=Haaland(re, rr)</t>
  </si>
  <si>
    <t>=Goudar_Sonnad(re, rr)</t>
  </si>
  <si>
    <t>=Zigrang(re, rr)</t>
  </si>
  <si>
    <t>=Altshul(re, rr)</t>
  </si>
  <si>
    <t>This is the most used forumla, how do the rest compare?  Those percentages will vary as the Re and Rr changes.</t>
  </si>
  <si>
    <t>Here, I don't check for those limits. But some may be</t>
  </si>
  <si>
    <t>off so much, it will be obvious that there's a problem</t>
  </si>
  <si>
    <t>with that method.</t>
  </si>
  <si>
    <t>Most of these are limited to specific Re and Rr values.</t>
  </si>
  <si>
    <t>Note the these functions have Re, Rr and the Mode # as inputs.</t>
  </si>
  <si>
    <t>These will vary all the time. Press F9 to force change.</t>
  </si>
  <si>
    <t>Actually it makes little difference at the initial starting point.</t>
  </si>
  <si>
    <t>this procedure will quickly find the right answer.</t>
  </si>
  <si>
    <r>
      <t xml:space="preserve">Copy the equation and edit it and remove the left side up to the equal sign, also relpace the </t>
    </r>
    <r>
      <rPr>
        <sz val="11"/>
        <color rgb="FFFF0000"/>
        <rFont val="Calibri"/>
        <family val="2"/>
        <scheme val="minor"/>
      </rPr>
      <t>1/sqrt(f)</t>
    </r>
    <r>
      <rPr>
        <sz val="11"/>
        <color theme="1"/>
        <rFont val="Calibri"/>
        <family val="2"/>
        <scheme val="minor"/>
      </rPr>
      <t xml:space="preserve"> with an initial guess. It will be this…</t>
    </r>
  </si>
  <si>
    <t>Each "Next" step will jump toward the solution.</t>
  </si>
  <si>
    <t>Then copy the equation to a maximum of 20 steps</t>
  </si>
  <si>
    <t>Each step points to the cell for 1/sqrt(f) value.</t>
  </si>
  <si>
    <t>Red means at least 15 decimal accuracy,</t>
  </si>
  <si>
    <t>In my VBA I test to see when the result does not change.</t>
  </si>
  <si>
    <t>&lt;Study the equation here.</t>
  </si>
  <si>
    <t>True means the maximum digits of accuray with Excel.</t>
  </si>
  <si>
    <t>Now try the next equation, Mode 9.35 I call it… the one usually used by Proffesional Pipe Designers. (I think)</t>
  </si>
  <si>
    <t>then copy that equation to loop 20.</t>
  </si>
  <si>
    <r>
      <t xml:space="preserve">Red means the value is not changing.  You have found the value of  </t>
    </r>
    <r>
      <rPr>
        <sz val="11"/>
        <color rgb="FFFF0000"/>
        <rFont val="Calibri"/>
        <family val="2"/>
        <scheme val="minor"/>
      </rPr>
      <t>1/sqrt(f)</t>
    </r>
  </si>
  <si>
    <t>Darcyf will be …</t>
  </si>
  <si>
    <t>Now try the next equation, Mode 1.14 I call it.</t>
  </si>
  <si>
    <t>How much closer does each step get?</t>
  </si>
  <si>
    <t>The value changes all the time, until the answer is found.</t>
  </si>
  <si>
    <t>Big numbers will get to RED faster, right?</t>
  </si>
  <si>
    <t>That's right.</t>
  </si>
  <si>
    <t>to solve for the "Darcy f" friction loss. There have been hundreds or thousands of scientists and engineers developing</t>
  </si>
  <si>
    <r>
      <t>Copy the equation here, edit to remove the left side, replace the "</t>
    </r>
    <r>
      <rPr>
        <b/>
        <sz val="11"/>
        <color rgb="FFFF0000"/>
        <rFont val="Calibri"/>
        <family val="2"/>
        <scheme val="minor"/>
      </rPr>
      <t>1/sqrt(f)"</t>
    </r>
    <r>
      <rPr>
        <sz val="11"/>
        <color theme="1"/>
        <rFont val="Calibri"/>
        <family val="2"/>
        <scheme val="minor"/>
      </rPr>
      <t xml:space="preserve"> and point to cell above for it's specific value.</t>
    </r>
  </si>
  <si>
    <t>&lt;Initial value for 1/sqrt(f)</t>
  </si>
  <si>
    <t>Mode 2.51 first,</t>
  </si>
  <si>
    <t>It mades it quicker and faster, since some tweaks make the computations faster, but the same accuracy. (max with Excel)</t>
  </si>
  <si>
    <t>There are also some other popular functions included, see below to see how easy you can compute the darcy f from several different equations.</t>
  </si>
  <si>
    <t>This is weird,  must have to have very limited Re and rr values.</t>
  </si>
  <si>
    <t>Press F9 and watch how the results vary from different Colebrook methods.</t>
  </si>
  <si>
    <t>&lt;&lt;Chosen for general usage.</t>
  </si>
  <si>
    <t>I think Serghide and Goudar are very good.</t>
  </si>
  <si>
    <t>I have rearranged some of the variables to put 1/sqrt(f) separate and near the end of the equation.  I did this to</t>
  </si>
  <si>
    <t>the reciprocal of the RED number squared, see equation below.</t>
  </si>
  <si>
    <r>
      <rPr>
        <i/>
        <sz val="16"/>
        <color rgb="FFFF0000"/>
        <rFont val="Arial"/>
        <family val="2"/>
      </rPr>
      <t>1/sqrt(f)</t>
    </r>
    <r>
      <rPr>
        <i/>
        <sz val="16"/>
        <color rgb="FF000000"/>
        <rFont val="Arial"/>
        <family val="2"/>
      </rPr>
      <t>=1.14-2*Log(Rr+9.35/Re*</t>
    </r>
    <r>
      <rPr>
        <i/>
        <sz val="16"/>
        <color rgb="FFFF0000"/>
        <rFont val="Arial"/>
        <family val="2"/>
      </rPr>
      <t>1/sqrt(f)</t>
    </r>
    <r>
      <rPr>
        <i/>
        <sz val="16"/>
        <color rgb="FF000000"/>
        <rFont val="Arial"/>
        <family val="2"/>
      </rPr>
      <t>)</t>
    </r>
  </si>
  <si>
    <r>
      <rPr>
        <i/>
        <sz val="16"/>
        <color rgb="FFFF0000"/>
        <rFont val="Arial"/>
        <family val="2"/>
      </rPr>
      <t>1/sqrt(f)</t>
    </r>
    <r>
      <rPr>
        <i/>
        <sz val="16"/>
        <color rgb="FF000000"/>
        <rFont val="Arial"/>
        <family val="2"/>
      </rPr>
      <t>=1.14+2*Log(1/Rr)-2*Log(1+(9.3/(Re*Rr)*</t>
    </r>
    <r>
      <rPr>
        <i/>
        <sz val="16"/>
        <color rgb="FFFF0000"/>
        <rFont val="Arial"/>
        <family val="2"/>
      </rPr>
      <t>1/sqrt(f)</t>
    </r>
    <r>
      <rPr>
        <i/>
        <sz val="16"/>
        <color rgb="FF000000"/>
        <rFont val="Arial"/>
        <family val="2"/>
      </rPr>
      <t>))</t>
    </r>
  </si>
  <si>
    <r>
      <rPr>
        <i/>
        <sz val="16"/>
        <color rgb="FFFF0000"/>
        <rFont val="Arial"/>
        <family val="2"/>
      </rPr>
      <t>1/sqrt(f)</t>
    </r>
    <r>
      <rPr>
        <i/>
        <sz val="16"/>
        <color rgb="FF000000"/>
        <rFont val="Arial"/>
        <family val="2"/>
      </rPr>
      <t>=1.74-2*Log(2*Rr+18.7/Re*</t>
    </r>
    <r>
      <rPr>
        <i/>
        <sz val="16"/>
        <color rgb="FFFF0000"/>
        <rFont val="Arial"/>
        <family val="2"/>
      </rPr>
      <t>1/sqrt(f)</t>
    </r>
    <r>
      <rPr>
        <i/>
        <sz val="16"/>
        <color rgb="FF000000"/>
        <rFont val="Arial"/>
        <family val="2"/>
      </rPr>
      <t>)</t>
    </r>
  </si>
  <si>
    <t>You see the 1/sqrt(f) is in red.  That is what we need to find, before we will solve for f.</t>
  </si>
  <si>
    <t>The MODE number is how I easily refer to each of these equations.</t>
  </si>
  <si>
    <r>
      <t>=-2*LOG(Rr/3.7+2.51/Re*</t>
    </r>
    <r>
      <rPr>
        <i/>
        <sz val="16"/>
        <color rgb="FFFF0000"/>
        <rFont val="Arial"/>
        <family val="2"/>
      </rPr>
      <t>1/sqrt(f)</t>
    </r>
    <r>
      <rPr>
        <i/>
        <sz val="16"/>
        <color rgb="FF000000"/>
        <rFont val="Arial"/>
        <family val="2"/>
      </rPr>
      <t>)</t>
    </r>
  </si>
  <si>
    <t>First we will guess a number for the 1/sqrt(f), and find an answer using that guess. For the next loop, we will use the answer we got.</t>
  </si>
  <si>
    <t>In Excel, we will "point" to the previous result for the next value of 1/sqrt(f)</t>
  </si>
  <si>
    <t>The e/d  or e/Dh is the roughness divided by the</t>
  </si>
  <si>
    <t>hydraulic diameter.  This ratio is the relative roughness.  This is what I call "rr".</t>
  </si>
  <si>
    <t>This are some copies I grabbed from different places.</t>
  </si>
  <si>
    <t>If you qucikly scan the equations for a unique three digit number</t>
  </si>
  <si>
    <t>you should be able to find what I call the "mode"</t>
  </si>
  <si>
    <t>I have re-arranged these, replaced e/d for rr, and placed the "1/sqrt(f)"</t>
  </si>
  <si>
    <t>near end of equation, so it could easily be found and edited.</t>
  </si>
  <si>
    <t>The number will begin to move toward the accurate solution for 1/sqrt(f)</t>
  </si>
  <si>
    <t>When the results stop changing, the value for 1/sqrt(f) has been found.</t>
  </si>
  <si>
    <t>&lt; this should be the Right side of the equation, with the cell above it entered for 1/sqrt(f).</t>
  </si>
  <si>
    <t>&lt;Initial guess for value of "1/sqrt(f)".</t>
  </si>
  <si>
    <t>Then it quits and solves for Darcy f.   Here we will wait for loop #20.</t>
  </si>
  <si>
    <t>The Darcy f value can now be found... It is =  1 / (the 20th loop)^2</t>
  </si>
  <si>
    <t>Ok, for the last equation.</t>
  </si>
  <si>
    <t>A VBA module is included.  You can use it in your own computations. Below are samples of each function built into this workbook.</t>
  </si>
  <si>
    <t>difference?</t>
  </si>
  <si>
    <t>Rate?</t>
  </si>
  <si>
    <t>This is just to evaluate how quick we get to RED</t>
  </si>
  <si>
    <t>diff change</t>
  </si>
  <si>
    <r>
      <rPr>
        <i/>
        <sz val="16"/>
        <color rgb="FFFF0000"/>
        <rFont val="Arial"/>
        <family val="2"/>
      </rPr>
      <t>1/sqrt(f)</t>
    </r>
    <r>
      <rPr>
        <i/>
        <sz val="16"/>
        <color rgb="FF000000"/>
        <rFont val="Arial"/>
        <family val="2"/>
      </rPr>
      <t>=-2*Log(Rr/3.7+2.51/Re*</t>
    </r>
    <r>
      <rPr>
        <i/>
        <sz val="16"/>
        <color rgb="FFFF0000"/>
        <rFont val="Arial"/>
        <family val="2"/>
      </rPr>
      <t>1/sqrt(f)</t>
    </r>
    <r>
      <rPr>
        <i/>
        <sz val="16"/>
        <color rgb="FF000000"/>
        <rFont val="Arial"/>
        <family val="2"/>
      </rPr>
      <t>)</t>
    </r>
  </si>
  <si>
    <t xml:space="preserve">Now let's verify the solution with the left side and right side using the f inside the "1/sqrt(f)" </t>
  </si>
  <si>
    <t>Notice this the same answer we got for mode 1.74 . VBA lets do the computation outside of the worksheet.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</si>
</sst>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0.0000000000000000"/>
    <numFmt numFmtId="165" formatCode="0.00000000%"/>
    <numFmt numFmtId="166" formatCode="0.00000000000000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6"/>
      <color rgb="FF000000"/>
      <name val="Arial"/>
      <family val="2"/>
    </font>
    <font>
      <i/>
      <sz val="11"/>
      <color rgb="FF000000"/>
      <name val="Arial"/>
      <family val="2"/>
    </font>
    <font>
      <i/>
      <sz val="12"/>
      <color theme="1"/>
      <name val="Arial"/>
      <family val="2"/>
    </font>
    <font>
      <i/>
      <sz val="16"/>
      <color rgb="FFFF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8"/>
      <color theme="0"/>
      <name val="Calibri"/>
      <family val="2"/>
      <scheme val="minor"/>
    </font>
    <font>
      <b/>
      <i/>
      <sz val="11"/>
      <name val="Comic Sans MS"/>
      <family val="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4" fillId="0" borderId="0" xfId="0" applyFont="1" applyBorder="1" applyAlignment="1"/>
    <xf numFmtId="0" fontId="5" fillId="0" borderId="0" xfId="0" applyFont="1" applyBorder="1" applyAlignment="1">
      <alignment horizontal="center" vertical="center"/>
    </xf>
    <xf numFmtId="0" fontId="4" fillId="0" borderId="0" xfId="0" quotePrefix="1" applyFont="1" applyBorder="1" applyAlignment="1"/>
    <xf numFmtId="0" fontId="6" fillId="0" borderId="4" xfId="0" applyFont="1" applyBorder="1" applyAlignment="1">
      <alignment horizontal="right"/>
    </xf>
    <xf numFmtId="0" fontId="0" fillId="0" borderId="0" xfId="0" applyAlignment="1">
      <alignment horizontal="right"/>
    </xf>
    <xf numFmtId="0" fontId="3" fillId="0" borderId="0" xfId="0" applyFont="1"/>
    <xf numFmtId="0" fontId="5" fillId="0" borderId="0" xfId="0" applyFont="1" applyBorder="1" applyAlignment="1"/>
    <xf numFmtId="0" fontId="0" fillId="0" borderId="4" xfId="0" quotePrefix="1" applyBorder="1" applyAlignment="1">
      <alignment horizontal="center"/>
    </xf>
    <xf numFmtId="0" fontId="3" fillId="2" borderId="4" xfId="0" applyFont="1" applyFill="1" applyBorder="1" applyAlignment="1">
      <alignment horizontal="right"/>
    </xf>
    <xf numFmtId="37" fontId="0" fillId="0" borderId="4" xfId="1" applyNumberFormat="1" applyFont="1" applyFill="1" applyBorder="1" applyAlignment="1" applyProtection="1">
      <alignment horizontal="center"/>
      <protection locked="0"/>
    </xf>
    <xf numFmtId="0" fontId="0" fillId="0" borderId="4" xfId="0" applyFill="1" applyBorder="1" applyAlignment="1" applyProtection="1">
      <alignment horizontal="center"/>
      <protection locked="0"/>
    </xf>
    <xf numFmtId="164" fontId="0" fillId="0" borderId="4" xfId="0" applyNumberFormat="1" applyBorder="1" applyAlignment="1">
      <alignment horizontal="center"/>
    </xf>
    <xf numFmtId="0" fontId="8" fillId="3" borderId="4" xfId="0" applyFont="1" applyFill="1" applyBorder="1"/>
    <xf numFmtId="0" fontId="0" fillId="0" borderId="0" xfId="0" applyBorder="1" applyAlignment="1">
      <alignment horizontal="center"/>
    </xf>
    <xf numFmtId="0" fontId="0" fillId="0" borderId="6" xfId="0" applyBorder="1"/>
    <xf numFmtId="0" fontId="0" fillId="0" borderId="7" xfId="0" quotePrefix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quotePrefix="1" applyBorder="1" applyAlignment="1">
      <alignment horizontal="right"/>
    </xf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Fill="1" applyBorder="1"/>
    <xf numFmtId="0" fontId="4" fillId="4" borderId="0" xfId="0" applyFont="1" applyFill="1" applyBorder="1" applyAlignment="1">
      <alignment horizontal="center"/>
    </xf>
    <xf numFmtId="0" fontId="0" fillId="0" borderId="0" xfId="0" quotePrefix="1" applyAlignment="1">
      <alignment horizontal="left"/>
    </xf>
    <xf numFmtId="1" fontId="0" fillId="0" borderId="0" xfId="0" applyNumberFormat="1"/>
    <xf numFmtId="165" fontId="0" fillId="0" borderId="7" xfId="2" applyNumberFormat="1" applyFont="1" applyBorder="1"/>
    <xf numFmtId="165" fontId="0" fillId="0" borderId="0" xfId="2" applyNumberFormat="1" applyFont="1" applyBorder="1"/>
    <xf numFmtId="0" fontId="10" fillId="0" borderId="14" xfId="0" applyFon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0" fillId="0" borderId="15" xfId="0" applyFont="1" applyBorder="1"/>
    <xf numFmtId="0" fontId="10" fillId="0" borderId="16" xfId="0" applyFont="1" applyBorder="1"/>
    <xf numFmtId="166" fontId="0" fillId="0" borderId="0" xfId="0" quotePrefix="1" applyNumberFormat="1" applyBorder="1"/>
    <xf numFmtId="166" fontId="3" fillId="0" borderId="14" xfId="0" applyNumberFormat="1" applyFont="1" applyBorder="1" applyAlignment="1">
      <alignment horizontal="center" vertical="center"/>
    </xf>
    <xf numFmtId="166" fontId="0" fillId="0" borderId="7" xfId="0" applyNumberFormat="1" applyBorder="1"/>
    <xf numFmtId="166" fontId="0" fillId="0" borderId="7" xfId="0" quotePrefix="1" applyNumberFormat="1" applyBorder="1"/>
    <xf numFmtId="166" fontId="0" fillId="0" borderId="4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/>
    <xf numFmtId="0" fontId="12" fillId="0" borderId="0" xfId="0" applyFont="1" applyAlignment="1">
      <alignment horizontal="right" vertical="center"/>
    </xf>
    <xf numFmtId="0" fontId="0" fillId="5" borderId="0" xfId="0" applyFill="1"/>
    <xf numFmtId="0" fontId="4" fillId="5" borderId="0" xfId="0" applyFont="1" applyFill="1" applyBorder="1" applyAlignment="1"/>
    <xf numFmtId="0" fontId="11" fillId="5" borderId="0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678822</xdr:colOff>
      <xdr:row>13</xdr:row>
      <xdr:rowOff>76200</xdr:rowOff>
    </xdr:from>
    <xdr:to>
      <xdr:col>14</xdr:col>
      <xdr:colOff>390525</xdr:colOff>
      <xdr:row>22</xdr:row>
      <xdr:rowOff>180975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318122" y="2962275"/>
          <a:ext cx="4378953" cy="18192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9</xdr:col>
      <xdr:colOff>161925</xdr:colOff>
      <xdr:row>7</xdr:row>
      <xdr:rowOff>85725</xdr:rowOff>
    </xdr:from>
    <xdr:to>
      <xdr:col>13</xdr:col>
      <xdr:colOff>85725</xdr:colOff>
      <xdr:row>12</xdr:row>
      <xdr:rowOff>184085</xdr:rowOff>
    </xdr:to>
    <xdr:pic>
      <xdr:nvPicPr>
        <xdr:cNvPr id="10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753725" y="1828800"/>
          <a:ext cx="3028950" cy="105086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</xdr:col>
      <xdr:colOff>66676</xdr:colOff>
      <xdr:row>166</xdr:row>
      <xdr:rowOff>123825</xdr:rowOff>
    </xdr:from>
    <xdr:to>
      <xdr:col>4</xdr:col>
      <xdr:colOff>28578</xdr:colOff>
      <xdr:row>180</xdr:row>
      <xdr:rowOff>85726</xdr:rowOff>
    </xdr:to>
    <xdr:cxnSp macro="">
      <xdr:nvCxnSpPr>
        <xdr:cNvPr id="6" name="Straight Arrow Connector 5"/>
        <xdr:cNvCxnSpPr/>
      </xdr:nvCxnSpPr>
      <xdr:spPr>
        <a:xfrm rot="5400000" flipH="1" flipV="1">
          <a:off x="2614614" y="34409062"/>
          <a:ext cx="2638426" cy="1219202"/>
        </a:xfrm>
        <a:prstGeom prst="straightConnector1">
          <a:avLst/>
        </a:prstGeom>
        <a:ln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89"/>
  <sheetViews>
    <sheetView tabSelected="1" topLeftCell="A19" workbookViewId="0">
      <selection activeCell="G74" sqref="G74"/>
    </sheetView>
  </sheetViews>
  <sheetFormatPr defaultRowHeight="15"/>
  <cols>
    <col min="1" max="1" width="2.85546875" customWidth="1"/>
    <col min="2" max="2" width="21.140625" customWidth="1"/>
    <col min="3" max="3" width="20.85546875" customWidth="1"/>
    <col min="4" max="4" width="18.85546875" customWidth="1"/>
    <col min="5" max="5" width="25.42578125" customWidth="1"/>
    <col min="6" max="6" width="23.42578125" customWidth="1"/>
    <col min="7" max="7" width="18.85546875" customWidth="1"/>
    <col min="9" max="9" width="14.28515625" bestFit="1" customWidth="1"/>
    <col min="11" max="11" width="16.28515625" customWidth="1"/>
    <col min="12" max="12" width="12" bestFit="1" customWidth="1"/>
  </cols>
  <sheetData>
    <row r="1" spans="1:17" ht="23.25">
      <c r="A1" s="58" t="s">
        <v>0</v>
      </c>
      <c r="B1" s="58"/>
      <c r="C1" s="58"/>
      <c r="D1" s="58"/>
      <c r="E1" s="58"/>
      <c r="F1" s="58"/>
      <c r="G1" s="58"/>
      <c r="H1" s="27"/>
      <c r="I1" s="46" t="s">
        <v>106</v>
      </c>
      <c r="J1" s="47"/>
      <c r="K1" s="47"/>
      <c r="L1" s="47"/>
      <c r="M1" s="47"/>
      <c r="N1" s="47"/>
      <c r="O1" s="39"/>
      <c r="P1" s="39"/>
      <c r="Q1" s="40"/>
    </row>
    <row r="2" spans="1:17" ht="18">
      <c r="F2" s="55" t="s">
        <v>1</v>
      </c>
      <c r="H2" s="27"/>
      <c r="I2" s="41" t="s">
        <v>107</v>
      </c>
      <c r="J2" s="27"/>
      <c r="K2" s="27"/>
      <c r="L2" s="27"/>
      <c r="M2" s="27"/>
      <c r="N2" s="27"/>
      <c r="O2" s="27"/>
      <c r="P2" s="27"/>
      <c r="Q2" s="42"/>
    </row>
    <row r="3" spans="1:17" ht="20.25">
      <c r="B3" s="7" t="s">
        <v>123</v>
      </c>
      <c r="C3" s="7"/>
      <c r="D3" s="7"/>
      <c r="E3" s="7"/>
      <c r="F3" s="8" t="s">
        <v>2</v>
      </c>
      <c r="H3" s="27"/>
      <c r="I3" s="41" t="s">
        <v>108</v>
      </c>
      <c r="J3" s="27"/>
      <c r="K3" s="27"/>
      <c r="L3" s="27"/>
      <c r="M3" s="27"/>
      <c r="N3" s="27"/>
      <c r="O3" s="27"/>
      <c r="P3" s="27"/>
      <c r="Q3" s="42"/>
    </row>
    <row r="4" spans="1:17" ht="20.25">
      <c r="B4" s="7" t="s">
        <v>96</v>
      </c>
      <c r="C4" s="7"/>
      <c r="D4" s="7"/>
      <c r="E4" s="7"/>
      <c r="F4" s="8" t="s">
        <v>3</v>
      </c>
      <c r="H4" s="27"/>
      <c r="I4" s="41" t="s">
        <v>104</v>
      </c>
      <c r="J4" s="27"/>
      <c r="K4" s="27"/>
      <c r="L4" s="27"/>
      <c r="M4" s="27"/>
      <c r="N4" s="27"/>
      <c r="O4" s="27"/>
      <c r="P4" s="27"/>
      <c r="Q4" s="42"/>
    </row>
    <row r="5" spans="1:17" ht="20.25">
      <c r="B5" s="7" t="s">
        <v>97</v>
      </c>
      <c r="C5" s="7"/>
      <c r="D5" s="7"/>
      <c r="E5" s="7"/>
      <c r="F5" s="8" t="s">
        <v>4</v>
      </c>
      <c r="H5" s="27"/>
      <c r="I5" s="41" t="s">
        <v>105</v>
      </c>
      <c r="J5" s="27"/>
      <c r="K5" s="27"/>
      <c r="L5" s="27"/>
      <c r="M5" s="27"/>
      <c r="N5" s="27"/>
      <c r="O5" s="27"/>
      <c r="P5" s="27"/>
      <c r="Q5" s="42"/>
    </row>
    <row r="6" spans="1:17" ht="20.25">
      <c r="B6" s="7" t="s">
        <v>98</v>
      </c>
      <c r="C6" s="7"/>
      <c r="D6" s="7"/>
      <c r="E6" s="7"/>
      <c r="F6" s="8" t="s">
        <v>5</v>
      </c>
      <c r="H6" s="27"/>
      <c r="I6" s="41" t="s">
        <v>109</v>
      </c>
      <c r="J6" s="27"/>
      <c r="K6" s="27"/>
      <c r="L6" s="27"/>
      <c r="M6" s="27"/>
      <c r="N6" s="27"/>
      <c r="O6" s="27"/>
      <c r="P6" s="27"/>
      <c r="Q6" s="42"/>
    </row>
    <row r="7" spans="1:17">
      <c r="H7" s="27"/>
      <c r="I7" s="41" t="s">
        <v>110</v>
      </c>
      <c r="J7" s="27"/>
      <c r="K7" s="27"/>
      <c r="L7" s="27"/>
      <c r="M7" s="27"/>
      <c r="N7" s="27"/>
      <c r="O7" s="27"/>
      <c r="P7" s="27"/>
      <c r="Q7" s="42"/>
    </row>
    <row r="8" spans="1:17">
      <c r="B8" t="s">
        <v>6</v>
      </c>
      <c r="H8" s="27"/>
      <c r="I8" s="41"/>
      <c r="J8" s="27"/>
      <c r="K8" s="27"/>
      <c r="L8" s="27"/>
      <c r="M8" s="27"/>
      <c r="N8" s="27"/>
      <c r="O8" s="27"/>
      <c r="P8" s="27"/>
      <c r="Q8" s="42"/>
    </row>
    <row r="9" spans="1:17">
      <c r="B9" t="s">
        <v>84</v>
      </c>
      <c r="H9" s="27"/>
      <c r="I9" s="41"/>
      <c r="J9" s="27"/>
      <c r="K9" s="27"/>
      <c r="L9" s="27"/>
      <c r="M9" s="27"/>
      <c r="N9" s="27"/>
      <c r="O9" s="27"/>
      <c r="P9" s="27"/>
      <c r="Q9" s="42"/>
    </row>
    <row r="10" spans="1:17">
      <c r="B10" t="s">
        <v>7</v>
      </c>
      <c r="H10" s="27"/>
      <c r="I10" s="41"/>
      <c r="J10" s="27"/>
      <c r="K10" s="27"/>
      <c r="L10" s="27"/>
      <c r="M10" s="27"/>
      <c r="N10" s="27"/>
      <c r="O10" s="27"/>
      <c r="P10" s="27"/>
      <c r="Q10" s="42"/>
    </row>
    <row r="11" spans="1:17">
      <c r="B11" t="s">
        <v>94</v>
      </c>
      <c r="H11" s="27"/>
      <c r="I11" s="41"/>
      <c r="J11" s="27"/>
      <c r="K11" s="27"/>
      <c r="L11" s="27"/>
      <c r="M11" s="27"/>
      <c r="N11" s="27"/>
      <c r="O11" s="27"/>
      <c r="P11" s="27"/>
      <c r="Q11" s="42"/>
    </row>
    <row r="12" spans="1:17">
      <c r="B12" t="s">
        <v>37</v>
      </c>
      <c r="H12" s="27"/>
      <c r="I12" s="41"/>
      <c r="J12" s="27"/>
      <c r="K12" s="27"/>
      <c r="L12" s="27"/>
      <c r="M12" s="27"/>
      <c r="N12" s="27"/>
      <c r="O12" s="27"/>
      <c r="P12" s="27"/>
      <c r="Q12" s="42"/>
    </row>
    <row r="13" spans="1:17">
      <c r="B13" t="s">
        <v>99</v>
      </c>
      <c r="H13" s="27"/>
      <c r="I13" s="41"/>
      <c r="J13" s="27"/>
      <c r="K13" s="27"/>
      <c r="L13" s="27"/>
      <c r="M13" s="27"/>
      <c r="N13" s="27"/>
      <c r="O13" s="27"/>
      <c r="P13" s="27"/>
      <c r="Q13" s="42"/>
    </row>
    <row r="14" spans="1:17">
      <c r="B14" t="s">
        <v>100</v>
      </c>
      <c r="H14" s="27"/>
      <c r="I14" s="41"/>
      <c r="J14" s="27"/>
      <c r="K14" s="27"/>
      <c r="L14" s="27"/>
      <c r="M14" s="27"/>
      <c r="N14" s="27"/>
      <c r="O14" s="27"/>
      <c r="P14" s="27"/>
      <c r="Q14" s="42"/>
    </row>
    <row r="15" spans="1:17">
      <c r="H15" s="27"/>
      <c r="I15" s="41"/>
      <c r="J15" s="27"/>
      <c r="K15" s="27"/>
      <c r="L15" s="27"/>
      <c r="M15" s="27"/>
      <c r="N15" s="27"/>
      <c r="O15" s="27"/>
      <c r="P15" s="27"/>
      <c r="Q15" s="42"/>
    </row>
    <row r="16" spans="1:17">
      <c r="B16" t="s">
        <v>8</v>
      </c>
      <c r="H16" s="27"/>
      <c r="I16" s="41"/>
      <c r="J16" s="27"/>
      <c r="K16" s="27"/>
      <c r="L16" s="27"/>
      <c r="M16" s="27"/>
      <c r="N16" s="27"/>
      <c r="O16" s="27"/>
      <c r="P16" s="27"/>
      <c r="Q16" s="42"/>
    </row>
    <row r="17" spans="2:17">
      <c r="B17" t="s">
        <v>9</v>
      </c>
      <c r="H17" s="27"/>
      <c r="I17" s="41"/>
      <c r="J17" s="27"/>
      <c r="K17" s="27"/>
      <c r="L17" s="27"/>
      <c r="M17" s="27"/>
      <c r="N17" s="27"/>
      <c r="O17" s="27"/>
      <c r="P17" s="27"/>
      <c r="Q17" s="42"/>
    </row>
    <row r="18" spans="2:17">
      <c r="B18" t="s">
        <v>10</v>
      </c>
      <c r="H18" s="27"/>
      <c r="I18" s="41"/>
      <c r="J18" s="27"/>
      <c r="K18" s="27"/>
      <c r="L18" s="27"/>
      <c r="M18" s="27"/>
      <c r="N18" s="27"/>
      <c r="O18" s="27"/>
      <c r="P18" s="27"/>
      <c r="Q18" s="42"/>
    </row>
    <row r="19" spans="2:17">
      <c r="B19" t="s">
        <v>11</v>
      </c>
      <c r="H19" s="27"/>
      <c r="I19" s="41"/>
      <c r="J19" s="27"/>
      <c r="K19" s="27"/>
      <c r="L19" s="27"/>
      <c r="M19" s="27"/>
      <c r="N19" s="27"/>
      <c r="O19" s="27"/>
      <c r="P19" s="27"/>
      <c r="Q19" s="42"/>
    </row>
    <row r="20" spans="2:17">
      <c r="H20" s="27"/>
      <c r="I20" s="41"/>
      <c r="J20" s="27"/>
      <c r="K20" s="27"/>
      <c r="L20" s="27"/>
      <c r="M20" s="27"/>
      <c r="N20" s="27"/>
      <c r="O20" s="27"/>
      <c r="P20" s="27"/>
      <c r="Q20" s="42"/>
    </row>
    <row r="21" spans="2:17">
      <c r="B21" t="s">
        <v>12</v>
      </c>
      <c r="H21" s="27"/>
      <c r="I21" s="41"/>
      <c r="J21" s="27"/>
      <c r="K21" s="27"/>
      <c r="L21" s="27"/>
      <c r="M21" s="27"/>
      <c r="N21" s="27"/>
      <c r="O21" s="27"/>
      <c r="P21" s="27"/>
      <c r="Q21" s="42"/>
    </row>
    <row r="22" spans="2:17">
      <c r="B22" t="s">
        <v>13</v>
      </c>
      <c r="H22" s="27"/>
      <c r="I22" s="41"/>
      <c r="J22" s="27"/>
      <c r="K22" s="27"/>
      <c r="L22" s="27"/>
      <c r="M22" s="27"/>
      <c r="N22" s="27"/>
      <c r="O22" s="27"/>
      <c r="P22" s="27"/>
      <c r="Q22" s="42"/>
    </row>
    <row r="23" spans="2:17">
      <c r="B23" t="s">
        <v>14</v>
      </c>
      <c r="H23" s="27"/>
      <c r="I23" s="41"/>
      <c r="J23" s="27"/>
      <c r="K23" s="27"/>
      <c r="L23" s="27"/>
      <c r="M23" s="27"/>
      <c r="N23" s="27"/>
      <c r="O23" s="27"/>
      <c r="P23" s="27"/>
      <c r="Q23" s="42"/>
    </row>
    <row r="24" spans="2:17">
      <c r="B24" t="s">
        <v>15</v>
      </c>
      <c r="H24" s="27"/>
      <c r="I24" s="41"/>
      <c r="J24" s="27"/>
      <c r="K24" s="27"/>
      <c r="L24" s="27"/>
      <c r="M24" s="27"/>
      <c r="N24" s="27"/>
      <c r="O24" s="27"/>
      <c r="P24" s="27"/>
      <c r="Q24" s="42"/>
    </row>
    <row r="25" spans="2:17">
      <c r="H25" s="27"/>
      <c r="I25" s="41"/>
      <c r="J25" s="27"/>
      <c r="K25" s="27"/>
      <c r="L25" s="27"/>
      <c r="M25" s="27"/>
      <c r="N25" s="27"/>
      <c r="O25" s="27"/>
      <c r="P25" s="27"/>
      <c r="Q25" s="42"/>
    </row>
    <row r="26" spans="2:17">
      <c r="B26" t="s">
        <v>16</v>
      </c>
      <c r="H26" s="27"/>
      <c r="I26" s="41"/>
      <c r="J26" s="27"/>
      <c r="K26" s="27"/>
      <c r="L26" s="27"/>
      <c r="M26" s="27"/>
      <c r="N26" s="27"/>
      <c r="O26" s="27"/>
      <c r="P26" s="27"/>
      <c r="Q26" s="42"/>
    </row>
    <row r="27" spans="2:17" ht="15.75" thickBot="1">
      <c r="B27" t="s">
        <v>17</v>
      </c>
      <c r="H27" s="27"/>
      <c r="I27" s="43"/>
      <c r="J27" s="44"/>
      <c r="K27" s="44"/>
      <c r="L27" s="44"/>
      <c r="M27" s="44"/>
      <c r="N27" s="44"/>
      <c r="O27" s="44"/>
      <c r="P27" s="44"/>
      <c r="Q27" s="45"/>
    </row>
    <row r="28" spans="2:17">
      <c r="B28" t="s">
        <v>18</v>
      </c>
      <c r="H28" s="27"/>
      <c r="I28" s="27"/>
      <c r="J28" s="27"/>
      <c r="K28" s="27"/>
      <c r="L28" s="27"/>
      <c r="M28" s="27"/>
      <c r="N28" s="27"/>
      <c r="O28" s="27"/>
      <c r="P28" s="27"/>
      <c r="Q28" s="27"/>
    </row>
    <row r="29" spans="2:17">
      <c r="B29" t="s">
        <v>19</v>
      </c>
      <c r="H29" s="27"/>
      <c r="I29" s="27"/>
      <c r="J29" s="27"/>
      <c r="K29" s="27"/>
      <c r="L29" s="27"/>
      <c r="M29" s="27"/>
      <c r="N29" s="27"/>
      <c r="O29" s="27"/>
      <c r="P29" s="27"/>
      <c r="Q29" s="27"/>
    </row>
    <row r="30" spans="2:17">
      <c r="B30" t="s">
        <v>20</v>
      </c>
    </row>
    <row r="32" spans="2:17">
      <c r="B32" t="s">
        <v>21</v>
      </c>
    </row>
    <row r="33" spans="2:7">
      <c r="B33" t="s">
        <v>22</v>
      </c>
    </row>
    <row r="35" spans="2:7">
      <c r="B35" t="s">
        <v>26</v>
      </c>
    </row>
    <row r="36" spans="2:7">
      <c r="B36" t="s">
        <v>27</v>
      </c>
    </row>
    <row r="37" spans="2:7">
      <c r="B37" s="4"/>
      <c r="C37" s="1" t="s">
        <v>23</v>
      </c>
      <c r="D37" s="5" t="s">
        <v>24</v>
      </c>
      <c r="E37" s="6" t="s">
        <v>25</v>
      </c>
      <c r="F37" s="2" t="s">
        <v>41</v>
      </c>
    </row>
    <row r="38" spans="2:7">
      <c r="B38" s="15" t="s">
        <v>39</v>
      </c>
      <c r="C38" s="16">
        <v>2500</v>
      </c>
      <c r="D38" s="16">
        <v>500000</v>
      </c>
      <c r="E38" s="17">
        <v>0</v>
      </c>
      <c r="F38" s="14">
        <f ca="1">ROUND(RAND()*($D$38-$C$38)+$C$35,$E$38)</f>
        <v>164596</v>
      </c>
    </row>
    <row r="39" spans="2:7">
      <c r="B39" s="15" t="s">
        <v>40</v>
      </c>
      <c r="C39" s="17">
        <v>1E-4</v>
      </c>
      <c r="D39" s="17">
        <v>0.05</v>
      </c>
      <c r="E39" s="17">
        <v>8</v>
      </c>
      <c r="F39" s="14">
        <f ca="1">ROUND(RAND()*($D$39-$C$39)+$C$36,$E$39)</f>
        <v>4.6915529999999997E-2</v>
      </c>
    </row>
    <row r="40" spans="2:7">
      <c r="E40" t="s">
        <v>64</v>
      </c>
    </row>
    <row r="41" spans="2:7" ht="15.75" thickBot="1">
      <c r="B41" t="s">
        <v>28</v>
      </c>
    </row>
    <row r="42" spans="2:7" ht="21" thickBot="1">
      <c r="B42" t="s">
        <v>29</v>
      </c>
      <c r="D42" s="7" t="s">
        <v>123</v>
      </c>
      <c r="G42" s="38" t="str">
        <f>F3</f>
        <v>Mode 2.51</v>
      </c>
    </row>
    <row r="43" spans="2:7">
      <c r="B43" t="s">
        <v>31</v>
      </c>
    </row>
    <row r="44" spans="2:7">
      <c r="B44" t="s">
        <v>30</v>
      </c>
    </row>
    <row r="45" spans="2:7">
      <c r="B45" t="s">
        <v>67</v>
      </c>
    </row>
    <row r="46" spans="2:7" ht="20.25">
      <c r="D46" s="9" t="s">
        <v>101</v>
      </c>
    </row>
    <row r="47" spans="2:7">
      <c r="B47" t="s">
        <v>102</v>
      </c>
    </row>
    <row r="48" spans="2:7">
      <c r="B48" t="s">
        <v>103</v>
      </c>
    </row>
    <row r="49" spans="2:5">
      <c r="B49" t="s">
        <v>38</v>
      </c>
    </row>
    <row r="50" spans="2:5" ht="20.25">
      <c r="D50" s="33">
        <v>3</v>
      </c>
      <c r="E50" t="s">
        <v>114</v>
      </c>
    </row>
    <row r="51" spans="2:5" ht="15.75">
      <c r="C51" s="11" t="s">
        <v>70</v>
      </c>
      <c r="D51" s="10">
        <f t="shared" ref="D51:D70" ca="1" si="0">-2*LOG(Rr/3.7+2.51/Re*D50)</f>
        <v>3.7906420065648629</v>
      </c>
      <c r="E51" t="s">
        <v>113</v>
      </c>
    </row>
    <row r="52" spans="2:5" ht="15.75">
      <c r="C52" s="11" t="s">
        <v>69</v>
      </c>
      <c r="D52" s="10">
        <f t="shared" ca="1" si="0"/>
        <v>3.7898194533862761</v>
      </c>
      <c r="E52" t="s">
        <v>111</v>
      </c>
    </row>
    <row r="53" spans="2:5" ht="15.75">
      <c r="C53" s="11" t="s">
        <v>68</v>
      </c>
      <c r="D53" s="10">
        <f t="shared" ca="1" si="0"/>
        <v>3.789820308733947</v>
      </c>
      <c r="E53" t="s">
        <v>112</v>
      </c>
    </row>
    <row r="54" spans="2:5" ht="15.75">
      <c r="C54" s="11" t="s">
        <v>32</v>
      </c>
      <c r="D54" s="10">
        <f t="shared" ca="1" si="0"/>
        <v>3.7898203078444967</v>
      </c>
    </row>
    <row r="55" spans="2:5" ht="15.75">
      <c r="C55" s="11" t="s">
        <v>33</v>
      </c>
      <c r="D55" s="10">
        <f t="shared" ca="1" si="0"/>
        <v>3.7898203078454218</v>
      </c>
    </row>
    <row r="56" spans="2:5" ht="15.75">
      <c r="D56" s="10">
        <f t="shared" ca="1" si="0"/>
        <v>3.7898203078454209</v>
      </c>
      <c r="E56" t="s">
        <v>34</v>
      </c>
    </row>
    <row r="57" spans="2:5" ht="15.75">
      <c r="D57" s="10">
        <f t="shared" ca="1" si="0"/>
        <v>3.7898203078454209</v>
      </c>
      <c r="E57" t="s">
        <v>71</v>
      </c>
    </row>
    <row r="58" spans="2:5" ht="15.75">
      <c r="D58" s="10">
        <f t="shared" ca="1" si="0"/>
        <v>3.7898203078454209</v>
      </c>
    </row>
    <row r="59" spans="2:5" ht="15.75">
      <c r="D59" s="10">
        <f t="shared" ca="1" si="0"/>
        <v>3.7898203078454209</v>
      </c>
      <c r="E59" t="s">
        <v>72</v>
      </c>
    </row>
    <row r="60" spans="2:5" ht="15.75">
      <c r="D60" s="10">
        <f t="shared" ca="1" si="0"/>
        <v>3.7898203078454209</v>
      </c>
      <c r="E60" t="s">
        <v>115</v>
      </c>
    </row>
    <row r="61" spans="2:5" ht="15.75">
      <c r="D61" s="10">
        <f t="shared" ca="1" si="0"/>
        <v>3.7898203078454209</v>
      </c>
    </row>
    <row r="62" spans="2:5" ht="15.75">
      <c r="D62" s="10">
        <f t="shared" ca="1" si="0"/>
        <v>3.7898203078454209</v>
      </c>
      <c r="E62" t="s">
        <v>35</v>
      </c>
    </row>
    <row r="63" spans="2:5" ht="15.75">
      <c r="D63" s="10">
        <f t="shared" ca="1" si="0"/>
        <v>3.7898203078454209</v>
      </c>
      <c r="E63" t="s">
        <v>45</v>
      </c>
    </row>
    <row r="64" spans="2:5" ht="15.75">
      <c r="D64" s="10">
        <f t="shared" ca="1" si="0"/>
        <v>3.7898203078454209</v>
      </c>
    </row>
    <row r="65" spans="2:8" ht="15.75">
      <c r="D65" s="10">
        <f t="shared" ca="1" si="0"/>
        <v>3.7898203078454209</v>
      </c>
    </row>
    <row r="66" spans="2:8" ht="15.75">
      <c r="D66" s="10">
        <f t="shared" ca="1" si="0"/>
        <v>3.7898203078454209</v>
      </c>
      <c r="E66" t="s">
        <v>78</v>
      </c>
    </row>
    <row r="67" spans="2:8" ht="15.75">
      <c r="D67" s="10">
        <f t="shared" ca="1" si="0"/>
        <v>3.7898203078454209</v>
      </c>
      <c r="E67" s="34" t="s">
        <v>95</v>
      </c>
    </row>
    <row r="68" spans="2:8" ht="15.75">
      <c r="D68" s="10">
        <f t="shared" ca="1" si="0"/>
        <v>3.7898203078454209</v>
      </c>
    </row>
    <row r="69" spans="2:8" ht="15.75">
      <c r="D69" s="10">
        <f t="shared" ca="1" si="0"/>
        <v>3.7898203078454209</v>
      </c>
    </row>
    <row r="70" spans="2:8" ht="16.5" thickBot="1">
      <c r="C70" s="11" t="s">
        <v>46</v>
      </c>
      <c r="D70" s="10">
        <f t="shared" ca="1" si="0"/>
        <v>3.7898203078454209</v>
      </c>
      <c r="E70" t="s">
        <v>116</v>
      </c>
    </row>
    <row r="71" spans="2:8" ht="15.75" thickBot="1">
      <c r="D71" s="11" t="s">
        <v>36</v>
      </c>
      <c r="E71" s="49">
        <f ca="1">1/D70^2</f>
        <v>6.9624607953171352E-2</v>
      </c>
      <c r="F71" t="s">
        <v>73</v>
      </c>
    </row>
    <row r="72" spans="2:8">
      <c r="E72" t="s">
        <v>124</v>
      </c>
    </row>
    <row r="73" spans="2:8">
      <c r="E73" s="3" t="s">
        <v>43</v>
      </c>
      <c r="F73" s="18" t="s">
        <v>44</v>
      </c>
      <c r="G73" s="3" t="s">
        <v>42</v>
      </c>
    </row>
    <row r="74" spans="2:8">
      <c r="E74" s="52">
        <f ca="1">1/SQRT(E71)</f>
        <v>3.7898203078454209</v>
      </c>
      <c r="F74" s="52">
        <f ca="1">-2*LOG(Rr/3.7+2.51/Re*1/SQRT(E71))</f>
        <v>3.7898203078454209</v>
      </c>
      <c r="G74" s="19" t="b">
        <f ca="1">F74=E74</f>
        <v>1</v>
      </c>
      <c r="H74" t="s">
        <v>74</v>
      </c>
    </row>
    <row r="75" spans="2:8">
      <c r="E75" s="13" t="s">
        <v>47</v>
      </c>
    </row>
    <row r="76" spans="2:8" s="56" customFormat="1" ht="18" customHeight="1">
      <c r="E76" s="57"/>
      <c r="F76" s="57"/>
    </row>
    <row r="80" spans="2:8" ht="15.75" thickBot="1">
      <c r="B80" t="s">
        <v>75</v>
      </c>
    </row>
    <row r="81" spans="3:7" ht="21" thickBot="1">
      <c r="D81" s="7" t="s">
        <v>96</v>
      </c>
      <c r="G81" s="38" t="str">
        <f>F4</f>
        <v>Mode 9.35</v>
      </c>
    </row>
    <row r="82" spans="3:7" ht="20.25">
      <c r="D82" s="33">
        <v>3</v>
      </c>
      <c r="E82" t="s">
        <v>86</v>
      </c>
    </row>
    <row r="83" spans="3:7" ht="15.75">
      <c r="C83">
        <v>1</v>
      </c>
      <c r="D83" s="10">
        <f t="shared" ref="D83:D102" ca="1" si="1">1.14-2*LOG(Rr+9.35/Re*D82)</f>
        <v>3.7942173762428864</v>
      </c>
      <c r="E83" t="s">
        <v>85</v>
      </c>
    </row>
    <row r="84" spans="3:7" ht="15.75">
      <c r="C84">
        <v>2</v>
      </c>
      <c r="D84" s="10">
        <f t="shared" ca="1" si="1"/>
        <v>3.7933855229621685</v>
      </c>
      <c r="E84" t="s">
        <v>76</v>
      </c>
    </row>
    <row r="85" spans="3:7" ht="15.75">
      <c r="C85">
        <v>3</v>
      </c>
      <c r="D85" s="10">
        <f t="shared" ca="1" si="1"/>
        <v>3.7933863938181798</v>
      </c>
    </row>
    <row r="86" spans="3:7" ht="15.75">
      <c r="C86">
        <v>4</v>
      </c>
      <c r="D86" s="10">
        <f t="shared" ca="1" si="1"/>
        <v>3.7933863929064922</v>
      </c>
    </row>
    <row r="87" spans="3:7" ht="15.75">
      <c r="C87">
        <v>5</v>
      </c>
      <c r="D87" s="10">
        <f t="shared" ca="1" si="1"/>
        <v>3.7933863929074461</v>
      </c>
    </row>
    <row r="88" spans="3:7" ht="15.75">
      <c r="C88">
        <f>C87+1</f>
        <v>6</v>
      </c>
      <c r="D88" s="10">
        <f t="shared" ca="1" si="1"/>
        <v>3.7933863929074452</v>
      </c>
    </row>
    <row r="89" spans="3:7" ht="15.75">
      <c r="C89">
        <f t="shared" ref="C89:C101" si="2">C88+1</f>
        <v>7</v>
      </c>
      <c r="D89" s="10">
        <f t="shared" ca="1" si="1"/>
        <v>3.7933863929074452</v>
      </c>
    </row>
    <row r="90" spans="3:7" ht="15.75">
      <c r="C90">
        <f t="shared" si="2"/>
        <v>8</v>
      </c>
      <c r="D90" s="10">
        <f t="shared" ca="1" si="1"/>
        <v>3.7933863929074452</v>
      </c>
      <c r="E90" t="s">
        <v>77</v>
      </c>
    </row>
    <row r="91" spans="3:7" ht="15.75">
      <c r="C91">
        <f t="shared" si="2"/>
        <v>9</v>
      </c>
      <c r="D91" s="10">
        <f t="shared" ca="1" si="1"/>
        <v>3.7933863929074452</v>
      </c>
    </row>
    <row r="92" spans="3:7" ht="15.75">
      <c r="C92">
        <f t="shared" si="2"/>
        <v>10</v>
      </c>
      <c r="D92" s="10">
        <f t="shared" ca="1" si="1"/>
        <v>3.7933863929074452</v>
      </c>
    </row>
    <row r="93" spans="3:7" ht="15.75">
      <c r="C93">
        <f t="shared" si="2"/>
        <v>11</v>
      </c>
      <c r="D93" s="10">
        <f t="shared" ca="1" si="1"/>
        <v>3.7933863929074452</v>
      </c>
    </row>
    <row r="94" spans="3:7" ht="15.75">
      <c r="C94">
        <f t="shared" si="2"/>
        <v>12</v>
      </c>
      <c r="D94" s="10">
        <f t="shared" ca="1" si="1"/>
        <v>3.7933863929074452</v>
      </c>
    </row>
    <row r="95" spans="3:7" ht="15.75">
      <c r="C95">
        <f t="shared" si="2"/>
        <v>13</v>
      </c>
      <c r="D95" s="10">
        <f t="shared" ca="1" si="1"/>
        <v>3.7933863929074452</v>
      </c>
    </row>
    <row r="96" spans="3:7" ht="15.75">
      <c r="C96">
        <f t="shared" si="2"/>
        <v>14</v>
      </c>
      <c r="D96" s="10">
        <f t="shared" ca="1" si="1"/>
        <v>3.7933863929074452</v>
      </c>
    </row>
    <row r="97" spans="2:11" ht="15.75">
      <c r="C97">
        <f t="shared" si="2"/>
        <v>15</v>
      </c>
      <c r="D97" s="10">
        <f t="shared" ca="1" si="1"/>
        <v>3.7933863929074452</v>
      </c>
    </row>
    <row r="98" spans="2:11" ht="15.75">
      <c r="C98">
        <f t="shared" si="2"/>
        <v>16</v>
      </c>
      <c r="D98" s="10">
        <f t="shared" ca="1" si="1"/>
        <v>3.7933863929074452</v>
      </c>
    </row>
    <row r="99" spans="2:11" ht="15.75">
      <c r="C99">
        <f t="shared" si="2"/>
        <v>17</v>
      </c>
      <c r="D99" s="10">
        <f t="shared" ca="1" si="1"/>
        <v>3.7933863929074452</v>
      </c>
      <c r="E99" t="s">
        <v>78</v>
      </c>
    </row>
    <row r="100" spans="2:11" ht="15.75">
      <c r="C100">
        <f t="shared" si="2"/>
        <v>18</v>
      </c>
      <c r="D100" s="10">
        <f t="shared" ca="1" si="1"/>
        <v>3.7933863929074452</v>
      </c>
      <c r="E100" s="34" t="s">
        <v>95</v>
      </c>
    </row>
    <row r="101" spans="2:11" ht="15.75">
      <c r="C101">
        <f t="shared" si="2"/>
        <v>19</v>
      </c>
      <c r="D101" s="10">
        <f t="shared" ca="1" si="1"/>
        <v>3.7933863929074452</v>
      </c>
    </row>
    <row r="102" spans="2:11" ht="16.5" thickBot="1">
      <c r="C102" s="11" t="s">
        <v>46</v>
      </c>
      <c r="D102" s="10">
        <f t="shared" ca="1" si="1"/>
        <v>3.7933863929074452</v>
      </c>
    </row>
    <row r="103" spans="2:11" ht="15.75" thickBot="1">
      <c r="D103" s="11" t="s">
        <v>36</v>
      </c>
      <c r="E103" s="49">
        <f ca="1">1/D102^2</f>
        <v>6.9493764140404146E-2</v>
      </c>
    </row>
    <row r="104" spans="2:11">
      <c r="E104" t="s">
        <v>124</v>
      </c>
    </row>
    <row r="105" spans="2:11">
      <c r="E105" s="3" t="s">
        <v>43</v>
      </c>
      <c r="F105" s="18" t="s">
        <v>44</v>
      </c>
      <c r="G105" s="3" t="s">
        <v>42</v>
      </c>
    </row>
    <row r="106" spans="2:11">
      <c r="E106" s="52">
        <f ca="1">1/SQRT(E103)</f>
        <v>3.7933863929074456</v>
      </c>
      <c r="F106" s="52">
        <f ca="1">1.14-2*LOG(Rr+9.35/Re*1/SQRT(E103))</f>
        <v>3.7933863929074452</v>
      </c>
      <c r="G106" s="19" t="b">
        <f ca="1">F106=E106</f>
        <v>1</v>
      </c>
    </row>
    <row r="107" spans="2:11">
      <c r="E107" s="20"/>
      <c r="F107" s="20"/>
    </row>
    <row r="108" spans="2:11">
      <c r="E108" s="20"/>
      <c r="F108" s="20"/>
    </row>
    <row r="109" spans="2:11">
      <c r="E109" s="20"/>
      <c r="F109" s="20"/>
    </row>
    <row r="110" spans="2:11" s="56" customFormat="1" ht="15.75" thickBot="1"/>
    <row r="111" spans="2:11" ht="16.5" thickBot="1">
      <c r="B111" t="s">
        <v>79</v>
      </c>
      <c r="G111" s="38" t="str">
        <f>F5</f>
        <v>Mode 1.14</v>
      </c>
    </row>
    <row r="112" spans="2:11" ht="20.25">
      <c r="D112" s="7" t="s">
        <v>97</v>
      </c>
      <c r="K112" t="s">
        <v>121</v>
      </c>
    </row>
    <row r="113" spans="1:13" ht="20.25">
      <c r="D113" s="33">
        <v>3</v>
      </c>
      <c r="E113" t="s">
        <v>65</v>
      </c>
      <c r="K113" s="53" t="s">
        <v>119</v>
      </c>
      <c r="L113" s="53" t="s">
        <v>122</v>
      </c>
      <c r="M113" s="53" t="s">
        <v>120</v>
      </c>
    </row>
    <row r="114" spans="1:13" ht="15.75">
      <c r="A114" s="35"/>
      <c r="C114">
        <v>1</v>
      </c>
      <c r="D114" s="10">
        <f t="shared" ref="D114:D133" ca="1" si="3">1.14+2*LOG(1/Rr)-2*LOG(1+(9.3/(Re*Rr)*D113))</f>
        <v>3.7942341874608942</v>
      </c>
      <c r="E114" t="s">
        <v>66</v>
      </c>
      <c r="K114" s="54" t="str">
        <f ca="1">IF(D113&gt;D114,D113-D114,"")</f>
        <v/>
      </c>
      <c r="L114" s="54"/>
      <c r="M114" s="54"/>
    </row>
    <row r="115" spans="1:13" ht="15.75">
      <c r="A115" s="35"/>
      <c r="C115">
        <v>2</v>
      </c>
      <c r="D115" s="10">
        <f t="shared" ca="1" si="3"/>
        <v>3.7934067469629373</v>
      </c>
      <c r="K115" s="54">
        <f t="shared" ref="K115:K121" ca="1" si="4">IF(D113&lt;&gt;D114,ABS(D114-D113),0)</f>
        <v>0.79423418746089425</v>
      </c>
      <c r="L115" s="54"/>
      <c r="M115" s="54" t="str">
        <f>IF(L115&gt;0,L114/L115,"")</f>
        <v/>
      </c>
    </row>
    <row r="116" spans="1:13" ht="15.75">
      <c r="A116" s="35"/>
      <c r="C116">
        <v>3</v>
      </c>
      <c r="D116" s="10">
        <f t="shared" ca="1" si="3"/>
        <v>3.7934076085880348</v>
      </c>
      <c r="F116" t="s">
        <v>80</v>
      </c>
      <c r="K116" s="54">
        <f t="shared" ca="1" si="4"/>
        <v>8.2744049795691055E-4</v>
      </c>
      <c r="L116" s="54">
        <f ca="1">IF(K116&gt;0,K115-K116,0)</f>
        <v>0.79340674696293734</v>
      </c>
      <c r="M116" s="54">
        <f t="shared" ref="M116:M133" ca="1" si="5">IF(L116&gt;0,L115/L116,0)</f>
        <v>0</v>
      </c>
    </row>
    <row r="117" spans="1:13" ht="15.75">
      <c r="A117" s="35"/>
      <c r="C117">
        <v>4</v>
      </c>
      <c r="D117" s="10">
        <f t="shared" ca="1" si="3"/>
        <v>3.7934076076908125</v>
      </c>
      <c r="F117" t="str">
        <f ca="1">"Each step is now "&amp;INT(ABS(D116-D117)/ABS(D117-D118))&amp; " times closer than the last step."</f>
        <v>Each step is now 960 times closer than the last step.</v>
      </c>
      <c r="K117" s="54">
        <f t="shared" ca="1" si="4"/>
        <v>8.6162509749243554E-7</v>
      </c>
      <c r="L117" s="54">
        <f t="shared" ref="L117:L133" ca="1" si="6">IF(K117&gt;0,K116-K117,0)</f>
        <v>8.2657887285941811E-4</v>
      </c>
      <c r="M117" s="54">
        <f t="shared" ca="1" si="5"/>
        <v>959.86816626255268</v>
      </c>
    </row>
    <row r="118" spans="1:13" ht="15.75">
      <c r="A118" s="35"/>
      <c r="C118">
        <v>5</v>
      </c>
      <c r="D118" s="10">
        <f t="shared" ca="1" si="3"/>
        <v>3.7934076076917469</v>
      </c>
      <c r="F118" t="s">
        <v>81</v>
      </c>
      <c r="K118" s="54">
        <f t="shared" ca="1" si="4"/>
        <v>8.9722229645872176E-10</v>
      </c>
      <c r="L118" s="54">
        <f t="shared" ca="1" si="6"/>
        <v>8.6072787519597682E-7</v>
      </c>
      <c r="M118" s="54">
        <f t="shared" ca="1" si="5"/>
        <v>960.32543696951439</v>
      </c>
    </row>
    <row r="119" spans="1:13" ht="15.75">
      <c r="A119" s="35"/>
      <c r="C119">
        <f>C118+1</f>
        <v>6</v>
      </c>
      <c r="D119" s="10">
        <f t="shared" ca="1" si="3"/>
        <v>3.793407607691746</v>
      </c>
      <c r="F119" t="s">
        <v>82</v>
      </c>
      <c r="K119" s="54">
        <f t="shared" ca="1" si="4"/>
        <v>9.3436369752453174E-13</v>
      </c>
      <c r="L119" s="54">
        <f t="shared" ca="1" si="6"/>
        <v>8.9628793276119723E-10</v>
      </c>
      <c r="M119" s="54">
        <f t="shared" ca="1" si="5"/>
        <v>960.32518539475325</v>
      </c>
    </row>
    <row r="120" spans="1:13" ht="15.75">
      <c r="A120" s="35"/>
      <c r="C120">
        <f t="shared" ref="C120:C132" si="7">C119+1</f>
        <v>7</v>
      </c>
      <c r="D120" s="10">
        <f t="shared" ca="1" si="3"/>
        <v>3.793407607691746</v>
      </c>
      <c r="F120" t="s">
        <v>83</v>
      </c>
      <c r="K120" s="54">
        <f t="shared" ca="1" si="4"/>
        <v>0</v>
      </c>
      <c r="L120" s="54">
        <f t="shared" ca="1" si="6"/>
        <v>0</v>
      </c>
      <c r="M120" s="54">
        <f t="shared" ca="1" si="5"/>
        <v>0</v>
      </c>
    </row>
    <row r="121" spans="1:13" ht="15.75">
      <c r="A121" s="35"/>
      <c r="C121">
        <f t="shared" si="7"/>
        <v>8</v>
      </c>
      <c r="D121" s="10">
        <f t="shared" ca="1" si="3"/>
        <v>3.793407607691746</v>
      </c>
      <c r="K121" s="54">
        <f t="shared" ca="1" si="4"/>
        <v>0</v>
      </c>
      <c r="L121" s="54">
        <f t="shared" ca="1" si="6"/>
        <v>0</v>
      </c>
      <c r="M121" s="54">
        <f t="shared" ca="1" si="5"/>
        <v>0</v>
      </c>
    </row>
    <row r="122" spans="1:13" ht="15.75">
      <c r="A122" s="35"/>
      <c r="C122">
        <f t="shared" si="7"/>
        <v>9</v>
      </c>
      <c r="D122" s="10">
        <f t="shared" ca="1" si="3"/>
        <v>3.793407607691746</v>
      </c>
      <c r="K122" s="54">
        <f t="shared" ref="K122:K133" ca="1" si="8">IF(D120&lt;&gt;D121,ABS(D121-D120),0)</f>
        <v>0</v>
      </c>
      <c r="L122" s="54">
        <f t="shared" ca="1" si="6"/>
        <v>0</v>
      </c>
      <c r="M122" s="54">
        <f t="shared" ca="1" si="5"/>
        <v>0</v>
      </c>
    </row>
    <row r="123" spans="1:13" ht="15.75">
      <c r="A123" s="35"/>
      <c r="C123">
        <f t="shared" si="7"/>
        <v>10</v>
      </c>
      <c r="D123" s="10">
        <f t="shared" ca="1" si="3"/>
        <v>3.793407607691746</v>
      </c>
      <c r="K123" s="54">
        <f t="shared" ca="1" si="8"/>
        <v>0</v>
      </c>
      <c r="L123" s="54">
        <f t="shared" ca="1" si="6"/>
        <v>0</v>
      </c>
      <c r="M123" s="54">
        <f t="shared" ca="1" si="5"/>
        <v>0</v>
      </c>
    </row>
    <row r="124" spans="1:13" ht="15.75">
      <c r="A124" s="35"/>
      <c r="C124">
        <f t="shared" si="7"/>
        <v>11</v>
      </c>
      <c r="D124" s="10">
        <f t="shared" ca="1" si="3"/>
        <v>3.793407607691746</v>
      </c>
      <c r="K124" s="54">
        <f t="shared" ca="1" si="8"/>
        <v>0</v>
      </c>
      <c r="L124" s="54">
        <f t="shared" ca="1" si="6"/>
        <v>0</v>
      </c>
      <c r="M124" s="54">
        <f t="shared" ref="M124" ca="1" si="9">IF(L124&gt;0,L123/L124,0)</f>
        <v>0</v>
      </c>
    </row>
    <row r="125" spans="1:13" ht="15.75">
      <c r="A125" s="35"/>
      <c r="C125">
        <f t="shared" si="7"/>
        <v>12</v>
      </c>
      <c r="D125" s="10">
        <f t="shared" ca="1" si="3"/>
        <v>3.793407607691746</v>
      </c>
      <c r="K125" s="54">
        <f t="shared" ca="1" si="8"/>
        <v>0</v>
      </c>
      <c r="L125" s="54">
        <f t="shared" ca="1" si="6"/>
        <v>0</v>
      </c>
      <c r="M125" s="54">
        <f t="shared" ca="1" si="5"/>
        <v>0</v>
      </c>
    </row>
    <row r="126" spans="1:13" ht="15.75">
      <c r="A126" s="35"/>
      <c r="C126">
        <f t="shared" si="7"/>
        <v>13</v>
      </c>
      <c r="D126" s="10">
        <f t="shared" ca="1" si="3"/>
        <v>3.793407607691746</v>
      </c>
      <c r="K126" s="54">
        <f t="shared" ca="1" si="8"/>
        <v>0</v>
      </c>
      <c r="L126" s="54">
        <f t="shared" ca="1" si="6"/>
        <v>0</v>
      </c>
      <c r="M126" s="54">
        <f t="shared" ca="1" si="5"/>
        <v>0</v>
      </c>
    </row>
    <row r="127" spans="1:13" ht="15.75">
      <c r="A127" s="35"/>
      <c r="C127">
        <f t="shared" si="7"/>
        <v>14</v>
      </c>
      <c r="D127" s="10">
        <f t="shared" ca="1" si="3"/>
        <v>3.793407607691746</v>
      </c>
      <c r="K127" s="54">
        <f t="shared" ca="1" si="8"/>
        <v>0</v>
      </c>
      <c r="L127" s="54">
        <f t="shared" ca="1" si="6"/>
        <v>0</v>
      </c>
      <c r="M127" s="54">
        <f t="shared" ca="1" si="5"/>
        <v>0</v>
      </c>
    </row>
    <row r="128" spans="1:13" ht="15.75">
      <c r="A128" s="35"/>
      <c r="C128">
        <f t="shared" si="7"/>
        <v>15</v>
      </c>
      <c r="D128" s="10">
        <f t="shared" ca="1" si="3"/>
        <v>3.793407607691746</v>
      </c>
      <c r="K128" s="54">
        <f t="shared" ca="1" si="8"/>
        <v>0</v>
      </c>
      <c r="L128" s="54">
        <f t="shared" ca="1" si="6"/>
        <v>0</v>
      </c>
      <c r="M128" s="54">
        <f t="shared" ca="1" si="5"/>
        <v>0</v>
      </c>
    </row>
    <row r="129" spans="1:13" ht="15.75">
      <c r="A129" s="35"/>
      <c r="C129">
        <f t="shared" si="7"/>
        <v>16</v>
      </c>
      <c r="D129" s="10">
        <f t="shared" ca="1" si="3"/>
        <v>3.793407607691746</v>
      </c>
      <c r="E129" t="s">
        <v>78</v>
      </c>
      <c r="K129" s="54">
        <f t="shared" ca="1" si="8"/>
        <v>0</v>
      </c>
      <c r="L129" s="54">
        <f t="shared" ca="1" si="6"/>
        <v>0</v>
      </c>
      <c r="M129" s="54">
        <f t="shared" ca="1" si="5"/>
        <v>0</v>
      </c>
    </row>
    <row r="130" spans="1:13" ht="15.75">
      <c r="A130" s="35"/>
      <c r="C130">
        <f t="shared" si="7"/>
        <v>17</v>
      </c>
      <c r="D130" s="10">
        <f t="shared" ca="1" si="3"/>
        <v>3.793407607691746</v>
      </c>
      <c r="E130" s="34" t="s">
        <v>95</v>
      </c>
      <c r="K130" s="54">
        <f t="shared" ca="1" si="8"/>
        <v>0</v>
      </c>
      <c r="L130" s="54">
        <f t="shared" ca="1" si="6"/>
        <v>0</v>
      </c>
      <c r="M130" s="54">
        <f t="shared" ca="1" si="5"/>
        <v>0</v>
      </c>
    </row>
    <row r="131" spans="1:13" ht="15.75">
      <c r="A131" s="35"/>
      <c r="C131">
        <f t="shared" si="7"/>
        <v>18</v>
      </c>
      <c r="D131" s="10">
        <f t="shared" ca="1" si="3"/>
        <v>3.793407607691746</v>
      </c>
      <c r="K131" s="54">
        <f t="shared" ca="1" si="8"/>
        <v>0</v>
      </c>
      <c r="L131" s="54">
        <f t="shared" ca="1" si="6"/>
        <v>0</v>
      </c>
      <c r="M131" s="54">
        <f t="shared" ca="1" si="5"/>
        <v>0</v>
      </c>
    </row>
    <row r="132" spans="1:13" ht="15.75">
      <c r="A132" s="35"/>
      <c r="C132">
        <f t="shared" si="7"/>
        <v>19</v>
      </c>
      <c r="D132" s="10">
        <f t="shared" ca="1" si="3"/>
        <v>3.793407607691746</v>
      </c>
      <c r="K132" s="54">
        <f t="shared" ca="1" si="8"/>
        <v>0</v>
      </c>
      <c r="L132" s="54">
        <f t="shared" ca="1" si="6"/>
        <v>0</v>
      </c>
      <c r="M132" s="54">
        <f t="shared" ca="1" si="5"/>
        <v>0</v>
      </c>
    </row>
    <row r="133" spans="1:13" ht="16.5" thickBot="1">
      <c r="C133" s="11" t="s">
        <v>46</v>
      </c>
      <c r="D133" s="10">
        <f t="shared" ca="1" si="3"/>
        <v>3.793407607691746</v>
      </c>
      <c r="K133" s="54">
        <f t="shared" ca="1" si="8"/>
        <v>0</v>
      </c>
      <c r="L133" s="54">
        <f t="shared" ca="1" si="6"/>
        <v>0</v>
      </c>
      <c r="M133" s="54">
        <f t="shared" ca="1" si="5"/>
        <v>0</v>
      </c>
    </row>
    <row r="134" spans="1:13" ht="12" customHeight="1" thickBot="1">
      <c r="D134" s="11" t="s">
        <v>36</v>
      </c>
      <c r="E134" s="49">
        <f ca="1">1/D133^2</f>
        <v>6.9492986849247262E-2</v>
      </c>
    </row>
    <row r="135" spans="1:13">
      <c r="E135" t="s">
        <v>124</v>
      </c>
    </row>
    <row r="136" spans="1:13">
      <c r="E136" s="3" t="s">
        <v>43</v>
      </c>
      <c r="F136" s="18" t="s">
        <v>44</v>
      </c>
      <c r="G136" s="3" t="s">
        <v>42</v>
      </c>
    </row>
    <row r="137" spans="1:13">
      <c r="E137" s="52">
        <f ca="1">1/SQRT(E134)</f>
        <v>3.7934076076917456</v>
      </c>
      <c r="F137" s="52">
        <f ca="1">1.14+2*LOG(1/Rr)-2*LOG(1+(9.3/(Re*Rr)*1/SQRT(E134)))</f>
        <v>3.793407607691746</v>
      </c>
      <c r="G137" s="19" t="b">
        <f ca="1">F137=E137</f>
        <v>1</v>
      </c>
    </row>
    <row r="142" spans="1:13" s="56" customFormat="1"/>
    <row r="143" spans="1:13">
      <c r="B143" t="s">
        <v>117</v>
      </c>
    </row>
    <row r="144" spans="1:13" ht="15.75" thickBot="1"/>
    <row r="145" spans="3:7" ht="21" thickBot="1">
      <c r="D145" s="7" t="s">
        <v>98</v>
      </c>
      <c r="G145" s="38" t="str">
        <f>F6</f>
        <v>Mode 1.74</v>
      </c>
    </row>
    <row r="146" spans="3:7" ht="20.25">
      <c r="D146" s="33">
        <v>3</v>
      </c>
      <c r="E146" t="s">
        <v>86</v>
      </c>
    </row>
    <row r="147" spans="3:7" ht="15.75">
      <c r="C147">
        <v>1</v>
      </c>
      <c r="D147" s="10">
        <f t="shared" ref="D147:D166" ca="1" si="10">1.74-2*LOG10(2*Rr+18.7/Re*D146)</f>
        <v>3.7921573849149235</v>
      </c>
      <c r="E147" t="s">
        <v>85</v>
      </c>
    </row>
    <row r="148" spans="3:7" ht="15.75">
      <c r="C148">
        <v>2</v>
      </c>
      <c r="D148" s="10">
        <f t="shared" ca="1" si="10"/>
        <v>3.7913276882130171</v>
      </c>
      <c r="E148" t="s">
        <v>76</v>
      </c>
    </row>
    <row r="149" spans="3:7" ht="15.75">
      <c r="C149">
        <v>3</v>
      </c>
      <c r="D149" s="10">
        <f t="shared" ca="1" si="10"/>
        <v>3.7913285568134905</v>
      </c>
      <c r="F149" t="s">
        <v>80</v>
      </c>
    </row>
    <row r="150" spans="3:7" ht="15.75">
      <c r="C150">
        <v>4</v>
      </c>
      <c r="D150" s="10">
        <f t="shared" ca="1" si="10"/>
        <v>3.7913285559041618</v>
      </c>
      <c r="F150" t="str">
        <f ca="1">"Each step is now "&amp;INT(ABS(D149-D150)/ABS(D150-D151))&amp; " times closer than the last step."</f>
        <v>Each step is now 955 times closer than the last step.</v>
      </c>
    </row>
    <row r="151" spans="3:7" ht="15.75">
      <c r="C151">
        <v>5</v>
      </c>
      <c r="D151" s="10">
        <f t="shared" ca="1" si="10"/>
        <v>3.7913285559051131</v>
      </c>
      <c r="F151" t="s">
        <v>81</v>
      </c>
    </row>
    <row r="152" spans="3:7" ht="15.75">
      <c r="C152">
        <f>C151+1</f>
        <v>6</v>
      </c>
      <c r="D152" s="10">
        <f t="shared" ca="1" si="10"/>
        <v>3.7913285559051122</v>
      </c>
      <c r="F152" t="s">
        <v>82</v>
      </c>
    </row>
    <row r="153" spans="3:7" ht="15.75">
      <c r="C153">
        <f t="shared" ref="C153:C165" si="11">C152+1</f>
        <v>7</v>
      </c>
      <c r="D153" s="10">
        <f t="shared" ca="1" si="10"/>
        <v>3.7913285559051122</v>
      </c>
      <c r="F153" t="s">
        <v>83</v>
      </c>
    </row>
    <row r="154" spans="3:7" ht="15.75">
      <c r="C154">
        <f t="shared" si="11"/>
        <v>8</v>
      </c>
      <c r="D154" s="10">
        <f t="shared" ca="1" si="10"/>
        <v>3.7913285559051122</v>
      </c>
    </row>
    <row r="155" spans="3:7" ht="15.75">
      <c r="C155">
        <f t="shared" si="11"/>
        <v>9</v>
      </c>
      <c r="D155" s="10">
        <f t="shared" ca="1" si="10"/>
        <v>3.7913285559051122</v>
      </c>
    </row>
    <row r="156" spans="3:7" ht="15.75">
      <c r="C156">
        <f t="shared" si="11"/>
        <v>10</v>
      </c>
      <c r="D156" s="10">
        <f t="shared" ca="1" si="10"/>
        <v>3.7913285559051122</v>
      </c>
    </row>
    <row r="157" spans="3:7" ht="15.75">
      <c r="C157">
        <f t="shared" si="11"/>
        <v>11</v>
      </c>
      <c r="D157" s="10">
        <f t="shared" ca="1" si="10"/>
        <v>3.7913285559051122</v>
      </c>
    </row>
    <row r="158" spans="3:7" ht="15.75">
      <c r="C158">
        <f t="shared" si="11"/>
        <v>12</v>
      </c>
      <c r="D158" s="10">
        <f t="shared" ca="1" si="10"/>
        <v>3.7913285559051122</v>
      </c>
    </row>
    <row r="159" spans="3:7" ht="15.75">
      <c r="C159">
        <f t="shared" si="11"/>
        <v>13</v>
      </c>
      <c r="D159" s="10">
        <f t="shared" ca="1" si="10"/>
        <v>3.7913285559051122</v>
      </c>
    </row>
    <row r="160" spans="3:7" ht="15.75">
      <c r="C160">
        <f t="shared" si="11"/>
        <v>14</v>
      </c>
      <c r="D160" s="10">
        <f t="shared" ca="1" si="10"/>
        <v>3.7913285559051122</v>
      </c>
    </row>
    <row r="161" spans="2:7" ht="15.75">
      <c r="C161">
        <f t="shared" si="11"/>
        <v>15</v>
      </c>
      <c r="D161" s="10">
        <f t="shared" ca="1" si="10"/>
        <v>3.7913285559051122</v>
      </c>
    </row>
    <row r="162" spans="2:7" ht="15.75">
      <c r="C162">
        <f t="shared" si="11"/>
        <v>16</v>
      </c>
      <c r="D162" s="10">
        <f t="shared" ca="1" si="10"/>
        <v>3.7913285559051122</v>
      </c>
    </row>
    <row r="163" spans="2:7" ht="15.75">
      <c r="C163">
        <f t="shared" si="11"/>
        <v>17</v>
      </c>
      <c r="D163" s="10">
        <f t="shared" ca="1" si="10"/>
        <v>3.7913285559051122</v>
      </c>
    </row>
    <row r="164" spans="2:7" ht="15.75">
      <c r="C164">
        <f t="shared" si="11"/>
        <v>18</v>
      </c>
      <c r="D164" s="10">
        <f t="shared" ca="1" si="10"/>
        <v>3.7913285559051122</v>
      </c>
    </row>
    <row r="165" spans="2:7" ht="15.75">
      <c r="C165">
        <f t="shared" si="11"/>
        <v>19</v>
      </c>
      <c r="D165" s="10">
        <f t="shared" ca="1" si="10"/>
        <v>3.7913285559051122</v>
      </c>
    </row>
    <row r="166" spans="2:7" ht="16.5" thickBot="1">
      <c r="C166" s="11" t="s">
        <v>46</v>
      </c>
      <c r="D166" s="10">
        <f t="shared" ca="1" si="10"/>
        <v>3.7913285559051122</v>
      </c>
    </row>
    <row r="167" spans="2:7" ht="15.75" thickBot="1">
      <c r="D167" s="11" t="s">
        <v>36</v>
      </c>
      <c r="E167" s="49">
        <f ca="1">1/D166^2</f>
        <v>6.9569223519570733E-2</v>
      </c>
    </row>
    <row r="168" spans="2:7">
      <c r="E168" t="s">
        <v>124</v>
      </c>
    </row>
    <row r="169" spans="2:7">
      <c r="E169" s="3" t="s">
        <v>43</v>
      </c>
      <c r="F169" s="18" t="s">
        <v>44</v>
      </c>
      <c r="G169" s="3" t="s">
        <v>42</v>
      </c>
    </row>
    <row r="170" spans="2:7">
      <c r="E170" s="52">
        <f ca="1">1/SQRT(E167)</f>
        <v>3.7913285559051126</v>
      </c>
      <c r="F170" s="52">
        <f ca="1">1.74-2*LOG10(2*Rr+18.7/Re*1/SQRT(E167))</f>
        <v>3.7913285559051122</v>
      </c>
      <c r="G170" s="19" t="b">
        <f ca="1">F170=E170</f>
        <v>1</v>
      </c>
    </row>
    <row r="173" spans="2:7" s="56" customFormat="1"/>
    <row r="174" spans="2:7">
      <c r="B174" t="s">
        <v>118</v>
      </c>
    </row>
    <row r="175" spans="2:7">
      <c r="B175" t="s">
        <v>88</v>
      </c>
    </row>
    <row r="176" spans="2:7">
      <c r="B176" t="s">
        <v>89</v>
      </c>
    </row>
    <row r="177" spans="1:9">
      <c r="B177" t="s">
        <v>87</v>
      </c>
      <c r="C177" t="s">
        <v>58</v>
      </c>
    </row>
    <row r="178" spans="1:9">
      <c r="A178" s="21"/>
      <c r="B178" s="22" t="s">
        <v>48</v>
      </c>
      <c r="C178" s="50" t="e">
        <f ca="1">Darcyf(Re, Rr, 2.51)</f>
        <v>#NAME?</v>
      </c>
      <c r="D178" s="23"/>
      <c r="E178" s="36" t="e">
        <f ca="1">C178/C178</f>
        <v>#NAME?</v>
      </c>
      <c r="F178" s="23" t="s">
        <v>92</v>
      </c>
      <c r="G178" s="23"/>
      <c r="H178" s="23"/>
      <c r="I178" s="24"/>
    </row>
    <row r="179" spans="1:9">
      <c r="A179" s="25"/>
      <c r="B179" s="26" t="s">
        <v>49</v>
      </c>
      <c r="C179" s="48" t="e">
        <f ca="1">Darcyf(Re, Rr, 9.35)</f>
        <v>#NAME?</v>
      </c>
      <c r="D179" s="27"/>
      <c r="E179" s="37" t="e">
        <f ca="1">C179/$C$178</f>
        <v>#NAME?</v>
      </c>
      <c r="F179" s="27"/>
      <c r="G179" s="27"/>
      <c r="H179" s="27"/>
      <c r="I179" s="28"/>
    </row>
    <row r="180" spans="1:9">
      <c r="A180" s="25"/>
      <c r="B180" s="26" t="s">
        <v>50</v>
      </c>
      <c r="C180" s="48" t="e">
        <f ca="1">Darcyf(Re, Rr, 1.14)</f>
        <v>#NAME?</v>
      </c>
      <c r="D180" s="27"/>
      <c r="E180" s="37" t="e">
        <f t="shared" ref="E180:E187" ca="1" si="12">C180/$C$178</f>
        <v>#NAME?</v>
      </c>
      <c r="F180" s="27" t="s">
        <v>63</v>
      </c>
      <c r="G180" s="27"/>
      <c r="H180" s="27"/>
      <c r="I180" s="28"/>
    </row>
    <row r="181" spans="1:9">
      <c r="A181" s="25"/>
      <c r="B181" s="26" t="s">
        <v>51</v>
      </c>
      <c r="C181" s="48" t="e">
        <f ca="1">Darcyf(Re, Rr, 1.74)</f>
        <v>#NAME?</v>
      </c>
      <c r="D181" s="27"/>
      <c r="E181" s="37" t="e">
        <f t="shared" ca="1" si="12"/>
        <v>#NAME?</v>
      </c>
      <c r="F181" s="27" t="s">
        <v>125</v>
      </c>
      <c r="G181" s="27"/>
      <c r="H181" s="27"/>
      <c r="I181" s="28"/>
    </row>
    <row r="182" spans="1:9">
      <c r="A182" s="21"/>
      <c r="B182" s="22" t="s">
        <v>52</v>
      </c>
      <c r="C182" s="51" t="e">
        <f ca="1">Swamee(Re, Rr)</f>
        <v>#NAME?</v>
      </c>
      <c r="D182" s="23"/>
      <c r="E182" s="36" t="e">
        <f t="shared" ca="1" si="12"/>
        <v>#NAME?</v>
      </c>
      <c r="F182" s="23"/>
      <c r="G182" s="23"/>
      <c r="H182" s="23"/>
      <c r="I182" s="24"/>
    </row>
    <row r="183" spans="1:9">
      <c r="A183" s="25"/>
      <c r="B183" s="26" t="s">
        <v>53</v>
      </c>
      <c r="C183" s="48" t="e">
        <f ca="1">Serghide(Re, Rr)</f>
        <v>#NAME?</v>
      </c>
      <c r="D183" s="27"/>
      <c r="E183" s="37" t="e">
        <f t="shared" ca="1" si="12"/>
        <v>#NAME?</v>
      </c>
      <c r="F183" s="27" t="s">
        <v>62</v>
      </c>
      <c r="G183" s="27"/>
      <c r="H183" s="27"/>
      <c r="I183" s="28"/>
    </row>
    <row r="184" spans="1:9">
      <c r="A184" s="25"/>
      <c r="B184" s="26" t="s">
        <v>54</v>
      </c>
      <c r="C184" s="48" t="e">
        <f ca="1">Haaland(Re, Rr)</f>
        <v>#NAME?</v>
      </c>
      <c r="D184" s="27"/>
      <c r="E184" s="37" t="e">
        <f t="shared" ca="1" si="12"/>
        <v>#NAME?</v>
      </c>
      <c r="F184" s="27" t="s">
        <v>59</v>
      </c>
      <c r="G184" s="27"/>
      <c r="H184" s="27"/>
      <c r="I184" s="28"/>
    </row>
    <row r="185" spans="1:9">
      <c r="A185" s="25"/>
      <c r="B185" s="26" t="s">
        <v>55</v>
      </c>
      <c r="C185" s="48" t="e">
        <f ca="1">Goudar_Sonnad(Re, Rr)</f>
        <v>#NAME?</v>
      </c>
      <c r="D185" s="27"/>
      <c r="E185" s="37" t="e">
        <f t="shared" ca="1" si="12"/>
        <v>#NAME?</v>
      </c>
      <c r="F185" s="27" t="s">
        <v>60</v>
      </c>
      <c r="G185" s="27"/>
      <c r="H185" s="27"/>
      <c r="I185" s="28"/>
    </row>
    <row r="186" spans="1:9">
      <c r="A186" s="25"/>
      <c r="B186" s="26" t="s">
        <v>56</v>
      </c>
      <c r="C186" s="48" t="e">
        <f ca="1">Zigrang(Re, Rr)</f>
        <v>#NAME?</v>
      </c>
      <c r="D186" s="27"/>
      <c r="E186" s="37" t="e">
        <f t="shared" ca="1" si="12"/>
        <v>#NAME?</v>
      </c>
      <c r="F186" s="32" t="s">
        <v>61</v>
      </c>
      <c r="G186" s="27"/>
      <c r="H186" s="27"/>
      <c r="I186" s="28"/>
    </row>
    <row r="187" spans="1:9">
      <c r="A187" s="25"/>
      <c r="B187" s="26" t="s">
        <v>57</v>
      </c>
      <c r="C187" s="48" t="e">
        <f ca="1">Altshul(Re, Rr)</f>
        <v>#NAME?</v>
      </c>
      <c r="D187" s="27"/>
      <c r="E187" s="37" t="e">
        <f t="shared" ca="1" si="12"/>
        <v>#NAME?</v>
      </c>
      <c r="F187" s="32" t="s">
        <v>90</v>
      </c>
      <c r="G187" s="27"/>
      <c r="H187" s="27"/>
      <c r="I187" s="28"/>
    </row>
    <row r="188" spans="1:9">
      <c r="A188" s="29"/>
      <c r="B188" s="30"/>
      <c r="C188" s="30"/>
      <c r="D188" s="30"/>
      <c r="E188" s="30"/>
      <c r="F188" s="30" t="s">
        <v>93</v>
      </c>
      <c r="G188" s="30"/>
      <c r="H188" s="30"/>
      <c r="I188" s="31"/>
    </row>
    <row r="189" spans="1:9">
      <c r="D189" s="12" t="s">
        <v>91</v>
      </c>
    </row>
  </sheetData>
  <mergeCells count="1">
    <mergeCell ref="A1:G1"/>
  </mergeCells>
  <conditionalFormatting sqref="F73">
    <cfRule type="colorScale" priority="5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D83">
    <cfRule type="cellIs" dxfId="9" priority="48" operator="equal">
      <formula>D81</formula>
    </cfRule>
  </conditionalFormatting>
  <conditionalFormatting sqref="D114">
    <cfRule type="cellIs" dxfId="8" priority="43" operator="equal">
      <formula>D112</formula>
    </cfRule>
  </conditionalFormatting>
  <conditionalFormatting sqref="D147">
    <cfRule type="cellIs" dxfId="7" priority="35" operator="equal">
      <formula>D145</formula>
    </cfRule>
  </conditionalFormatting>
  <conditionalFormatting sqref="D51">
    <cfRule type="cellIs" dxfId="6" priority="16" operator="equal">
      <formula>D47</formula>
    </cfRule>
  </conditionalFormatting>
  <conditionalFormatting sqref="D51">
    <cfRule type="cellIs" dxfId="5" priority="15" operator="equal">
      <formula>D47</formula>
    </cfRule>
  </conditionalFormatting>
  <conditionalFormatting sqref="F105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36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69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D52:D70">
    <cfRule type="cellIs" dxfId="4" priority="4" operator="equal">
      <formula>D49</formula>
    </cfRule>
  </conditionalFormatting>
  <conditionalFormatting sqref="D52:D70">
    <cfRule type="cellIs" dxfId="3" priority="5" operator="equal">
      <formula>D49</formula>
    </cfRule>
  </conditionalFormatting>
  <conditionalFormatting sqref="D84:D102">
    <cfRule type="cellIs" dxfId="2" priority="3" operator="equal">
      <formula>D82</formula>
    </cfRule>
  </conditionalFormatting>
  <conditionalFormatting sqref="D115:D133">
    <cfRule type="cellIs" dxfId="1" priority="2" operator="equal">
      <formula>D113</formula>
    </cfRule>
  </conditionalFormatting>
  <conditionalFormatting sqref="D148:D166">
    <cfRule type="cellIs" dxfId="0" priority="1" operator="equal">
      <formula>D146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Sheet1!Re</vt:lpstr>
      <vt:lpstr>Sheet1!Rr</vt:lpstr>
    </vt:vector>
  </TitlesOfParts>
  <Company>USDA OCIO-ITS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Harrell Geron</dc:creator>
  <cp:lastModifiedBy>Chris Haslego</cp:lastModifiedBy>
  <dcterms:created xsi:type="dcterms:W3CDTF">2011-09-12T18:00:21Z</dcterms:created>
  <dcterms:modified xsi:type="dcterms:W3CDTF">2011-09-13T18:07:12Z</dcterms:modified>
</cp:coreProperties>
</file>