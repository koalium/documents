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bkBJAC" defaultThemeVersion="124226"/>
  <mc:AlternateContent xmlns:mc="http://schemas.openxmlformats.org/markup-compatibility/2006">
    <mc:Choice Requires="x15">
      <x15ac:absPath xmlns:x15ac="http://schemas.microsoft.com/office/spreadsheetml/2010/11/ac" url="D:\EDRSource\main\maindev\Excel Templates\"/>
    </mc:Choice>
  </mc:AlternateContent>
  <xr:revisionPtr revIDLastSave="0" documentId="8_{92C379A5-6967-46DC-B6D6-3310141F9B76}" xr6:coauthVersionLast="41" xr6:coauthVersionMax="41" xr10:uidLastSave="{00000000-0000-0000-0000-000000000000}"/>
  <bookViews>
    <workbookView xWindow="1290" yWindow="1170" windowWidth="22425" windowHeight="11055" xr2:uid="{00000000-000D-0000-FFFF-FFFF00000000}"/>
  </bookViews>
  <sheets>
    <sheet name="Process" sheetId="2" r:id="rId1"/>
    <sheet name="Combustion" sheetId="3" r:id="rId2"/>
    <sheet name="Mechanical (I)" sheetId="4" r:id="rId3"/>
    <sheet name="Work" sheetId="5" state="hidden" r:id="rId4"/>
  </sheets>
  <definedNames>
    <definedName name="BJACVari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C41" i="5" l="1"/>
  <c r="B8" i="5"/>
  <c r="B9" i="5"/>
  <c r="B10" i="5"/>
  <c r="B11" i="5"/>
  <c r="B7" i="5"/>
  <c r="D29" i="5"/>
  <c r="C29" i="5"/>
  <c r="D32" i="5"/>
  <c r="C32" i="5"/>
  <c r="D37" i="5"/>
  <c r="C37" i="5"/>
  <c r="C20" i="5"/>
  <c r="B20" i="5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B12" i="5" l="1"/>
  <c r="B1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Richardson, Ryan</author>
    <author>Aspen Technology</author>
  </authors>
  <commentList>
    <comment ref="B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BJACVariable.XXXP.Logo@50050</t>
        </r>
      </text>
    </comment>
    <comment ref="D8" authorId="1" shapeId="0" xr:uid="{00000000-0006-0000-0000-000002000000}">
      <text>
        <r>
          <rPr>
            <b/>
            <sz val="10"/>
            <color indexed="81"/>
            <rFont val="Tahoma"/>
          </rPr>
          <t>BJACVariable.RSHU.Heater_OverallDuty</t>
        </r>
      </text>
    </comment>
    <comment ref="E8" authorId="1" shapeId="0" xr:uid="{00000000-0006-0000-0000-000003000000}">
      <text>
        <r>
          <rPr>
            <b/>
            <sz val="10"/>
            <color indexed="81"/>
            <rFont val="Tahoma"/>
          </rPr>
          <t>BJACVariable.RSHV.Heater_OverallDuty</t>
        </r>
      </text>
    </comment>
    <comment ref="D13" authorId="1" shapeId="0" xr:uid="{00000000-0006-0000-0000-000004000000}">
      <text>
        <r>
          <rPr>
            <b/>
            <sz val="10"/>
            <color indexed="81"/>
            <rFont val="Tahoma"/>
          </rPr>
          <t>BJACVariable.RSHU.Heater_OverallDuty</t>
        </r>
      </text>
    </comment>
    <comment ref="E13" authorId="1" shapeId="0" xr:uid="{00000000-0006-0000-0000-000005000000}">
      <text>
        <r>
          <rPr>
            <b/>
            <sz val="10"/>
            <color indexed="81"/>
            <rFont val="Tahoma"/>
          </rPr>
          <t>BJACVariable.RSHV.Heater_OverallDuty</t>
        </r>
      </text>
    </comment>
    <comment ref="D15" authorId="1" shapeId="0" xr:uid="{00000000-0006-0000-0000-000006000000}">
      <text>
        <r>
          <rPr>
            <b/>
            <sz val="10"/>
            <color indexed="81"/>
            <rFont val="Tahoma"/>
          </rPr>
          <t>BJACVariable.RAHU.Stream_Flowrate</t>
        </r>
      </text>
    </comment>
    <comment ref="E15" authorId="1" shapeId="0" xr:uid="{00000000-0006-0000-0000-000007000000}">
      <text>
        <r>
          <rPr>
            <b/>
            <sz val="10"/>
            <color indexed="81"/>
            <rFont val="Tahoma"/>
          </rPr>
          <t>BJACVariable.RAHV.Stream_Flowrate@-1</t>
        </r>
      </text>
    </comment>
    <comment ref="D17" authorId="1" shapeId="0" xr:uid="{00000000-0006-0000-0000-000008000000}">
      <text>
        <r>
          <rPr>
            <b/>
            <sz val="10"/>
            <color indexed="81"/>
            <rFont val="Tahoma"/>
          </rPr>
          <t>BJACVariable.IAHU.Strm_MaxPressureLoss</t>
        </r>
      </text>
    </comment>
    <comment ref="E17" authorId="1" shapeId="0" xr:uid="{00000000-0006-0000-0000-000009000000}">
      <text>
        <r>
          <rPr>
            <b/>
            <sz val="10"/>
            <color indexed="81"/>
            <rFont val="Tahoma"/>
          </rPr>
          <t>BJACVariable.IAHV.Strm_MaxPressureLoss@1</t>
        </r>
      </text>
    </comment>
    <comment ref="D18" authorId="1" shapeId="0" xr:uid="{00000000-0006-0000-0000-00000A000000}">
      <text>
        <r>
          <rPr>
            <b/>
            <sz val="10"/>
            <color indexed="81"/>
            <rFont val="Tahoma"/>
          </rPr>
          <t>BJACVariable.RAHU.Stream_PressureDrop</t>
        </r>
      </text>
    </comment>
    <comment ref="E18" authorId="1" shapeId="0" xr:uid="{00000000-0006-0000-0000-00000B000000}">
      <text>
        <r>
          <rPr>
            <b/>
            <sz val="10"/>
            <color indexed="81"/>
            <rFont val="Tahoma"/>
          </rPr>
          <t>BJACVariable.RAHV.Stream_PressureDrop@-1</t>
        </r>
      </text>
    </comment>
    <comment ref="D20" authorId="1" shapeId="0" xr:uid="{00000000-0006-0000-0000-00000C000000}">
      <text>
        <r>
          <rPr>
            <b/>
            <sz val="10"/>
            <color indexed="81"/>
            <rFont val="Tahoma"/>
          </rPr>
          <t>BJACVariable.RAHU.BoxBank_MeanHeatFlux</t>
        </r>
      </text>
    </comment>
    <comment ref="E20" authorId="1" shapeId="0" xr:uid="{00000000-0006-0000-0000-00000D000000}">
      <text>
        <r>
          <rPr>
            <b/>
            <sz val="10"/>
            <color indexed="81"/>
            <rFont val="Tahoma"/>
          </rPr>
          <t>BJACVariable.RAHV.BoxBank_MeanHeatFlux@-3</t>
        </r>
      </text>
    </comment>
    <comment ref="D21" authorId="1" shapeId="0" xr:uid="{00000000-0006-0000-0000-00000E000000}">
      <text>
        <r>
          <rPr>
            <b/>
            <sz val="10"/>
            <color indexed="81"/>
            <rFont val="Tahoma"/>
          </rPr>
          <t>BJACVariable.RAHU.FboxTubes_PeakHeatFlux</t>
        </r>
      </text>
    </comment>
    <comment ref="E21" authorId="1" shapeId="0" xr:uid="{00000000-0006-0000-0000-00000F000000}">
      <text>
        <r>
          <rPr>
            <b/>
            <sz val="10"/>
            <color indexed="81"/>
            <rFont val="Tahoma"/>
          </rPr>
          <t>BJACVariable.RAHV.FboxTubes_PeakHeatFlux@-1</t>
        </r>
      </text>
    </comment>
    <comment ref="D22" authorId="1" shapeId="0" xr:uid="{00000000-0006-0000-0000-000010000000}">
      <text>
        <r>
          <rPr>
            <b/>
            <sz val="10"/>
            <color indexed="81"/>
            <rFont val="Tahoma"/>
          </rPr>
          <t>BJACVariable.RAHU.Cbank_MeanHeatFluxBareArea</t>
        </r>
      </text>
    </comment>
    <comment ref="E22" authorId="1" shapeId="0" xr:uid="{00000000-0006-0000-0000-000011000000}">
      <text>
        <r>
          <rPr>
            <b/>
            <sz val="10"/>
            <color indexed="81"/>
            <rFont val="Tahoma"/>
          </rPr>
          <t>BJACVariable.RAHV.Cbank_MeanHeatFluxBareArea@-2</t>
        </r>
      </text>
    </comment>
    <comment ref="D24" authorId="1" shapeId="0" xr:uid="{00000000-0006-0000-0000-000012000000}">
      <text>
        <r>
          <rPr>
            <b/>
            <sz val="10"/>
            <color indexed="81"/>
            <rFont val="Tahoma"/>
          </rPr>
          <t>BJACVariable.RAHU.BoxBank_StreamMassFlux</t>
        </r>
      </text>
    </comment>
    <comment ref="E24" authorId="1" shapeId="0" xr:uid="{00000000-0006-0000-0000-000013000000}">
      <text>
        <r>
          <rPr>
            <b/>
            <sz val="10"/>
            <color indexed="81"/>
            <rFont val="Tahoma"/>
          </rPr>
          <t>BJACVariable.RAHV.BoxBank_StreamMassFlux@-3</t>
        </r>
      </text>
    </comment>
    <comment ref="D25" authorId="1" shapeId="0" xr:uid="{00000000-0006-0000-0000-000014000000}">
      <text>
        <r>
          <rPr>
            <b/>
            <sz val="10"/>
            <color indexed="81"/>
            <rFont val="Tahoma"/>
          </rPr>
          <t>BJACVariable.RAHU.FboxTubes_MaxInsideFoulingTemperature</t>
        </r>
      </text>
    </comment>
    <comment ref="F25" authorId="1" shapeId="0" xr:uid="{00000000-0006-0000-0000-000015000000}">
      <text>
        <r>
          <rPr>
            <b/>
            <sz val="10"/>
            <color indexed="81"/>
            <rFont val="Tahoma"/>
          </rPr>
          <t>BJACVariable.RAHV.FboxTubes_MaxInsideFoulingTemperature@-1</t>
        </r>
      </text>
    </comment>
    <comment ref="D26" authorId="1" shapeId="0" xr:uid="{00000000-0006-0000-0000-000016000000}">
      <text>
        <r>
          <rPr>
            <b/>
            <sz val="10"/>
            <color indexed="81"/>
            <rFont val="Tahoma"/>
          </rPr>
          <t>BJACVariable.IAHU.Strm_FoulingResistance</t>
        </r>
      </text>
    </comment>
    <comment ref="E26" authorId="1" shapeId="0" xr:uid="{00000000-0006-0000-0000-000017000000}">
      <text>
        <r>
          <rPr>
            <b/>
            <sz val="10"/>
            <color indexed="81"/>
            <rFont val="Tahoma"/>
          </rPr>
          <t>BJACVariable.IAHV.Strm_FoulingResistance@1</t>
        </r>
      </text>
    </comment>
    <comment ref="F26" authorId="1" shapeId="0" xr:uid="{00000000-0006-0000-0000-000018000000}">
      <text>
        <r>
          <rPr>
            <b/>
            <sz val="10"/>
            <color indexed="81"/>
            <rFont val="Tahoma"/>
          </rPr>
          <t>BJACVariable.ISXV.Gas_FoulingResistance</t>
        </r>
      </text>
    </comment>
    <comment ref="D29" authorId="1" shapeId="0" xr:uid="{00000000-0006-0000-0000-000019000000}">
      <text>
        <r>
          <rPr>
            <b/>
            <sz val="10"/>
            <color indexed="81"/>
            <rFont val="Tahoma"/>
          </rPr>
          <t>BJACVariable.RAHU.Stream_TemperatureIn</t>
        </r>
      </text>
    </comment>
    <comment ref="E29" authorId="1" shapeId="0" xr:uid="{00000000-0006-0000-0000-00001A000000}">
      <text>
        <r>
          <rPr>
            <b/>
            <sz val="10"/>
            <color indexed="81"/>
            <rFont val="Tahoma"/>
          </rPr>
          <t>BJACVariable.RAHV.Stream_TemperatureIn@-1</t>
        </r>
      </text>
    </comment>
    <comment ref="D30" authorId="1" shapeId="0" xr:uid="{00000000-0006-0000-0000-00001B000000}">
      <text>
        <r>
          <rPr>
            <b/>
            <sz val="10"/>
            <color indexed="81"/>
            <rFont val="Tahoma"/>
          </rPr>
          <t>BJACVariable.RAHU.Stream_PressureIn</t>
        </r>
      </text>
    </comment>
    <comment ref="E30" authorId="1" shapeId="0" xr:uid="{00000000-0006-0000-0000-00001C000000}">
      <text>
        <r>
          <rPr>
            <b/>
            <sz val="10"/>
            <color indexed="81"/>
            <rFont val="Tahoma"/>
          </rPr>
          <t>BJACVariable.RAHV.Stream_PressureIn@-1</t>
        </r>
      </text>
    </comment>
    <comment ref="E31" authorId="1" shapeId="0" xr:uid="{00000000-0006-0000-0000-00001D000000}">
      <text>
        <r>
          <rPr>
            <b/>
            <sz val="10"/>
            <color indexed="81"/>
            <rFont val="Tahoma"/>
          </rPr>
          <t>BJACVariable.RAHV.Stream_QualityIn@-1</t>
        </r>
      </text>
    </comment>
    <comment ref="D34" authorId="1" shapeId="0" xr:uid="{00000000-0006-0000-0000-00001E000000}">
      <text>
        <r>
          <rPr>
            <b/>
            <sz val="10"/>
            <color indexed="81"/>
            <rFont val="Tahoma"/>
          </rPr>
          <t>BJACVariable.RAHU.Stream_LiquidDensityIn</t>
        </r>
      </text>
    </comment>
    <comment ref="E34" authorId="1" shapeId="0" xr:uid="{00000000-0006-0000-0000-00001F000000}">
      <text>
        <r>
          <rPr>
            <b/>
            <sz val="10"/>
            <color indexed="81"/>
            <rFont val="Tahoma"/>
          </rPr>
          <t>BJACVariable.RAHV.Stream_LiquidDensityIn@-1</t>
        </r>
      </text>
    </comment>
    <comment ref="D35" authorId="1" shapeId="0" xr:uid="{00000000-0006-0000-0000-000020000000}">
      <text>
        <r>
          <rPr>
            <b/>
            <sz val="10"/>
            <color indexed="81"/>
            <rFont val="Tahoma"/>
          </rPr>
          <t>BJACVariable.RAHU.Stream_VaporDensityIn</t>
        </r>
      </text>
    </comment>
    <comment ref="E35" authorId="1" shapeId="0" xr:uid="{00000000-0006-0000-0000-000021000000}">
      <text>
        <r>
          <rPr>
            <b/>
            <sz val="10"/>
            <color indexed="81"/>
            <rFont val="Tahoma"/>
          </rPr>
          <t>BJACVariable.RAHV.Stream_VaporDensityIn@-1</t>
        </r>
      </text>
    </comment>
    <comment ref="D36" authorId="1" shapeId="0" xr:uid="{00000000-0006-0000-0000-000022000000}">
      <text>
        <r>
          <rPr>
            <b/>
            <sz val="10"/>
            <color indexed="81"/>
            <rFont val="Tahoma"/>
          </rPr>
          <t>BJACVariable.RAHU.Stream_LiquidViscosityIn</t>
        </r>
      </text>
    </comment>
    <comment ref="E36" authorId="1" shapeId="0" xr:uid="{00000000-0006-0000-0000-000023000000}">
      <text>
        <r>
          <rPr>
            <b/>
            <sz val="10"/>
            <color indexed="81"/>
            <rFont val="Tahoma"/>
          </rPr>
          <t>BJACVariable.RAHV.Stream_LiquidViscosityIn@-1</t>
        </r>
      </text>
    </comment>
    <comment ref="F36" authorId="1" shapeId="0" xr:uid="{00000000-0006-0000-0000-000024000000}">
      <text>
        <r>
          <rPr>
            <b/>
            <sz val="10"/>
            <color indexed="81"/>
            <rFont val="Tahoma"/>
          </rPr>
          <t>BJACVariable.RAHV.Stream_VaporViscosityIn@-1</t>
        </r>
      </text>
    </comment>
    <comment ref="D37" authorId="1" shapeId="0" xr:uid="{00000000-0006-0000-0000-000025000000}">
      <text>
        <r>
          <rPr>
            <b/>
            <sz val="10"/>
            <color indexed="81"/>
            <rFont val="Tahoma"/>
          </rPr>
          <t>BJACVariable.RAHU.Stream_LiquidSpecificHeatIn</t>
        </r>
      </text>
    </comment>
    <comment ref="E37" authorId="1" shapeId="0" xr:uid="{00000000-0006-0000-0000-000026000000}">
      <text>
        <r>
          <rPr>
            <b/>
            <sz val="10"/>
            <color indexed="81"/>
            <rFont val="Tahoma"/>
          </rPr>
          <t>BJACVariable.RAHV.Stream_LiquidSpecificHeatIn@-1</t>
        </r>
      </text>
    </comment>
    <comment ref="F37" authorId="1" shapeId="0" xr:uid="{00000000-0006-0000-0000-000027000000}">
      <text>
        <r>
          <rPr>
            <b/>
            <sz val="10"/>
            <color indexed="81"/>
            <rFont val="Tahoma"/>
          </rPr>
          <t>BJACVariable.RAHV.Stream_VaporSpecificHeatIn@-1</t>
        </r>
      </text>
    </comment>
    <comment ref="D38" authorId="1" shapeId="0" xr:uid="{00000000-0006-0000-0000-000028000000}">
      <text>
        <r>
          <rPr>
            <b/>
            <sz val="10"/>
            <color indexed="81"/>
            <rFont val="Tahoma"/>
          </rPr>
          <t>BJACVariable.RAHU.Stream_LiquidThermalCondIn</t>
        </r>
      </text>
    </comment>
    <comment ref="E38" authorId="1" shapeId="0" xr:uid="{00000000-0006-0000-0000-000029000000}">
      <text>
        <r>
          <rPr>
            <b/>
            <sz val="10"/>
            <color indexed="81"/>
            <rFont val="Tahoma"/>
          </rPr>
          <t>BJACVariable.RAHV.Stream_LiquidThermalCondIn@-1</t>
        </r>
      </text>
    </comment>
    <comment ref="F38" authorId="1" shapeId="0" xr:uid="{00000000-0006-0000-0000-00002A000000}">
      <text>
        <r>
          <rPr>
            <b/>
            <sz val="10"/>
            <color indexed="81"/>
            <rFont val="Tahoma"/>
          </rPr>
          <t>BJACVariable.RAHV.Stream_VaporThermalCondIn@-1</t>
        </r>
      </text>
    </comment>
    <comment ref="D40" authorId="1" shapeId="0" xr:uid="{00000000-0006-0000-0000-00002B000000}">
      <text>
        <r>
          <rPr>
            <b/>
            <sz val="10"/>
            <color indexed="81"/>
            <rFont val="Tahoma"/>
          </rPr>
          <t>BJACVariable.RAHU.Stream_TemperatureOut</t>
        </r>
      </text>
    </comment>
    <comment ref="E40" authorId="1" shapeId="0" xr:uid="{00000000-0006-0000-0000-00002C000000}">
      <text>
        <r>
          <rPr>
            <b/>
            <sz val="10"/>
            <color indexed="81"/>
            <rFont val="Tahoma"/>
          </rPr>
          <t>BJACVariable.RAHV.Stream_TemperatureOut@-1</t>
        </r>
      </text>
    </comment>
    <comment ref="D41" authorId="1" shapeId="0" xr:uid="{00000000-0006-0000-0000-00002D000000}">
      <text>
        <r>
          <rPr>
            <b/>
            <sz val="10"/>
            <color indexed="81"/>
            <rFont val="Tahoma"/>
          </rPr>
          <t>BJACVariable.RAHU.Stream_PressureOut</t>
        </r>
      </text>
    </comment>
    <comment ref="E41" authorId="1" shapeId="0" xr:uid="{00000000-0006-0000-0000-00002E000000}">
      <text>
        <r>
          <rPr>
            <b/>
            <sz val="10"/>
            <color indexed="81"/>
            <rFont val="Tahoma"/>
          </rPr>
          <t>BJACVariable.RAHV.Stream_PressureOut@-1</t>
        </r>
      </text>
    </comment>
    <comment ref="E42" authorId="1" shapeId="0" xr:uid="{00000000-0006-0000-0000-00002F000000}">
      <text>
        <r>
          <rPr>
            <b/>
            <sz val="10"/>
            <color indexed="81"/>
            <rFont val="Tahoma"/>
          </rPr>
          <t>BJACVariable.RAHV.Stream_QualityOut@-1</t>
        </r>
      </text>
    </comment>
    <comment ref="D45" authorId="1" shapeId="0" xr:uid="{00000000-0006-0000-0000-000030000000}">
      <text>
        <r>
          <rPr>
            <b/>
            <sz val="10"/>
            <color indexed="81"/>
            <rFont val="Tahoma"/>
          </rPr>
          <t>BJACVariable.RAHU.Stream_LiquidDensityOut</t>
        </r>
      </text>
    </comment>
    <comment ref="E45" authorId="1" shapeId="0" xr:uid="{00000000-0006-0000-0000-000031000000}">
      <text>
        <r>
          <rPr>
            <b/>
            <sz val="10"/>
            <color indexed="81"/>
            <rFont val="Tahoma"/>
          </rPr>
          <t>BJACVariable.RAHV.Stream_LiquidDensityOut@-1</t>
        </r>
      </text>
    </comment>
    <comment ref="D46" authorId="1" shapeId="0" xr:uid="{00000000-0006-0000-0000-000032000000}">
      <text>
        <r>
          <rPr>
            <b/>
            <sz val="10"/>
            <color indexed="81"/>
            <rFont val="Tahoma"/>
          </rPr>
          <t>BJACVariable.RAHU.Stream_VaporDensityOut</t>
        </r>
      </text>
    </comment>
    <comment ref="E46" authorId="1" shapeId="0" xr:uid="{00000000-0006-0000-0000-000033000000}">
      <text>
        <r>
          <rPr>
            <b/>
            <sz val="10"/>
            <color indexed="81"/>
            <rFont val="Tahoma"/>
          </rPr>
          <t>BJACVariable.RAHV.Stream_VaporDensityOut@-1</t>
        </r>
      </text>
    </comment>
    <comment ref="D47" authorId="1" shapeId="0" xr:uid="{00000000-0006-0000-0000-000034000000}">
      <text>
        <r>
          <rPr>
            <b/>
            <sz val="10"/>
            <color indexed="81"/>
            <rFont val="Tahoma"/>
          </rPr>
          <t>BJACVariable.RAHU.Stream_LiquidViscosityOut</t>
        </r>
      </text>
    </comment>
    <comment ref="E47" authorId="1" shapeId="0" xr:uid="{00000000-0006-0000-0000-000035000000}">
      <text>
        <r>
          <rPr>
            <b/>
            <sz val="10"/>
            <color indexed="81"/>
            <rFont val="Tahoma"/>
          </rPr>
          <t>BJACVariable.RAHV.Stream_LiquidViscosityOut@-1</t>
        </r>
      </text>
    </comment>
    <comment ref="F47" authorId="1" shapeId="0" xr:uid="{00000000-0006-0000-0000-000036000000}">
      <text>
        <r>
          <rPr>
            <b/>
            <sz val="10"/>
            <color indexed="81"/>
            <rFont val="Tahoma"/>
          </rPr>
          <t>BJACVariable.RAHV.Stream_VaporViscosityOut@-1</t>
        </r>
      </text>
    </comment>
    <comment ref="D48" authorId="1" shapeId="0" xr:uid="{00000000-0006-0000-0000-000037000000}">
      <text>
        <r>
          <rPr>
            <b/>
            <sz val="10"/>
            <color indexed="81"/>
            <rFont val="Tahoma"/>
          </rPr>
          <t>BJACVariable.RAHU.Stream_LiquidSpecificHeatOut</t>
        </r>
      </text>
    </comment>
    <comment ref="E48" authorId="1" shapeId="0" xr:uid="{00000000-0006-0000-0000-000038000000}">
      <text>
        <r>
          <rPr>
            <b/>
            <sz val="10"/>
            <color indexed="81"/>
            <rFont val="Tahoma"/>
          </rPr>
          <t>BJACVariable.RAHV.Stream_LiquidSpecificHeatOut@-1</t>
        </r>
      </text>
    </comment>
    <comment ref="F48" authorId="1" shapeId="0" xr:uid="{00000000-0006-0000-0000-000039000000}">
      <text>
        <r>
          <rPr>
            <b/>
            <sz val="10"/>
            <color indexed="81"/>
            <rFont val="Tahoma"/>
          </rPr>
          <t>BJACVariable.RAHV.Stream_VaporSpecificHeatOut@-1</t>
        </r>
      </text>
    </comment>
    <comment ref="D49" authorId="1" shapeId="0" xr:uid="{00000000-0006-0000-0000-00003A000000}">
      <text>
        <r>
          <rPr>
            <b/>
            <sz val="10"/>
            <color indexed="81"/>
            <rFont val="Tahoma"/>
          </rPr>
          <t>BJACVariable.RAHU.Stream_LiquidThermalCondOut</t>
        </r>
      </text>
    </comment>
    <comment ref="E49" authorId="1" shapeId="0" xr:uid="{00000000-0006-0000-0000-00003B000000}">
      <text>
        <r>
          <rPr>
            <b/>
            <sz val="10"/>
            <color indexed="81"/>
            <rFont val="Tahoma"/>
          </rPr>
          <t>BJACVariable.RAHV.Stream_LiquidThermalCondOut@-1</t>
        </r>
      </text>
    </comment>
    <comment ref="F49" authorId="1" shapeId="0" xr:uid="{00000000-0006-0000-0000-00003C000000}">
      <text>
        <r>
          <rPr>
            <b/>
            <sz val="10"/>
            <color indexed="81"/>
            <rFont val="Tahoma"/>
          </rPr>
          <t>BJACVariable.RAHV.Stream_VaporThermalCondOut@-1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Aspen Technology</author>
  </authors>
  <commentList>
    <comment ref="C6" authorId="0" shapeId="0" xr:uid="{00000000-0006-0000-0100-000001000000}">
      <text>
        <r>
          <rPr>
            <b/>
            <sz val="10"/>
            <color indexed="81"/>
            <rFont val="Tahoma"/>
          </rPr>
          <t>BJACVariable.RAHU.Fuel_Flowrate</t>
        </r>
      </text>
    </comment>
    <comment ref="D6" authorId="0" shapeId="0" xr:uid="{00000000-0006-0000-0100-000002000000}">
      <text>
        <r>
          <rPr>
            <b/>
            <sz val="10"/>
            <color indexed="81"/>
            <rFont val="Tahoma"/>
          </rPr>
          <t>BJACVariable.RAHV.Fuel_Flowrate@-2</t>
        </r>
      </text>
    </comment>
    <comment ref="D7" authorId="0" shapeId="0" xr:uid="{00000000-0006-0000-0100-000003000000}">
      <text>
        <r>
          <rPr>
            <b/>
            <sz val="10"/>
            <color indexed="81"/>
            <rFont val="Tahoma"/>
          </rPr>
          <t>BJACVariable.RSHV.FlueGas_PercentExcessAirMass</t>
        </r>
      </text>
    </comment>
    <comment ref="D9" authorId="0" shapeId="0" xr:uid="{00000000-0006-0000-0100-000004000000}">
      <text>
        <r>
          <rPr>
            <b/>
            <sz val="10"/>
            <color indexed="81"/>
            <rFont val="Tahoma"/>
          </rPr>
          <t>BJACVariable.RSHV.Heater_FuelEfficiency</t>
        </r>
      </text>
    </comment>
    <comment ref="C11" authorId="0" shapeId="0" xr:uid="{00000000-0006-0000-0100-000005000000}">
      <text>
        <r>
          <rPr>
            <b/>
            <sz val="10"/>
            <color indexed="81"/>
            <rFont val="Tahoma"/>
          </rPr>
          <t>BJACVariable.RSHU.Fbox_BridgewallGasTemperature</t>
        </r>
      </text>
    </comment>
    <comment ref="D11" authorId="0" shapeId="0" xr:uid="{00000000-0006-0000-0100-000006000000}">
      <text>
        <r>
          <rPr>
            <b/>
            <sz val="10"/>
            <color indexed="81"/>
            <rFont val="Tahoma"/>
          </rPr>
          <t>BJACVariable.RSHV.Fbox_BridgewallGasTemperature</t>
        </r>
      </text>
    </comment>
    <comment ref="C12" authorId="0" shapeId="0" xr:uid="{00000000-0006-0000-0100-000007000000}">
      <text>
        <r>
          <rPr>
            <b/>
            <sz val="10"/>
            <color indexed="81"/>
            <rFont val="Tahoma"/>
          </rPr>
          <t>BJACVariable.RSHU.Preheat_GasTemperatureIn</t>
        </r>
      </text>
    </comment>
    <comment ref="D12" authorId="0" shapeId="0" xr:uid="{00000000-0006-0000-0100-000008000000}">
      <text>
        <r>
          <rPr>
            <b/>
            <sz val="10"/>
            <color indexed="81"/>
            <rFont val="Tahoma"/>
          </rPr>
          <t>BJACVariable.RSHV.Preheat_GasTemperatureIn</t>
        </r>
      </text>
    </comment>
    <comment ref="C13" authorId="0" shapeId="0" xr:uid="{00000000-0006-0000-0100-000009000000}">
      <text>
        <r>
          <rPr>
            <b/>
            <sz val="10"/>
            <color indexed="81"/>
            <rFont val="Tahoma"/>
          </rPr>
          <t>BJACVariable.RSHU.Preheat_GasTemperatureOut</t>
        </r>
      </text>
    </comment>
    <comment ref="D13" authorId="0" shapeId="0" xr:uid="{00000000-0006-0000-0100-00000A000000}">
      <text>
        <r>
          <rPr>
            <b/>
            <sz val="10"/>
            <color indexed="81"/>
            <rFont val="Tahoma"/>
          </rPr>
          <t>BJACVariable.RSHV.Preheat_GasTemperatureOut</t>
        </r>
      </text>
    </comment>
    <comment ref="C14" authorId="0" shapeId="0" xr:uid="{00000000-0006-0000-0100-00000B000000}">
      <text>
        <r>
          <rPr>
            <b/>
            <sz val="10"/>
            <color indexed="81"/>
            <rFont val="Tahoma"/>
          </rPr>
          <t>BJACVariable.RAHU.FlueGas_Flowrate</t>
        </r>
      </text>
    </comment>
    <comment ref="D14" authorId="0" shapeId="0" xr:uid="{00000000-0006-0000-0100-00000C000000}">
      <text>
        <r>
          <rPr>
            <b/>
            <sz val="10"/>
            <color indexed="81"/>
            <rFont val="Tahoma"/>
          </rPr>
          <t>BJACVariable.RAHV.FlueGas_Flowrate@-2</t>
        </r>
      </text>
    </comment>
    <comment ref="C15" authorId="0" shapeId="0" xr:uid="{00000000-0006-0000-0100-00000D000000}">
      <text>
        <r>
          <rPr>
            <b/>
            <sz val="10"/>
            <color indexed="81"/>
            <rFont val="Tahoma"/>
          </rPr>
          <t>BJACVariable.RAHU.Cbank_GasMassFlux</t>
        </r>
      </text>
    </comment>
    <comment ref="D15" authorId="0" shapeId="0" xr:uid="{00000000-0006-0000-0100-00000E000000}">
      <text>
        <r>
          <rPr>
            <b/>
            <sz val="10"/>
            <color indexed="81"/>
            <rFont val="Tahoma"/>
          </rPr>
          <t>BJACVariable.RAHV.Cbank_GasMassFlux@-2</t>
        </r>
      </text>
    </comment>
    <comment ref="C16" authorId="0" shapeId="0" xr:uid="{00000000-0006-0000-0100-00000F000000}">
      <text>
        <r>
          <rPr>
            <b/>
            <sz val="10"/>
            <color indexed="81"/>
            <rFont val="Tahoma"/>
          </rPr>
          <t>BJACVariable.RSHU.Fbox_DraughtAtBridgewall</t>
        </r>
      </text>
    </comment>
    <comment ref="D16" authorId="0" shapeId="0" xr:uid="{00000000-0006-0000-0100-000010000000}">
      <text>
        <r>
          <rPr>
            <b/>
            <sz val="10"/>
            <color indexed="81"/>
            <rFont val="Tahoma"/>
          </rPr>
          <t>BJACVariable.RSHV.Fbox_DraughtAtBridgewall</t>
        </r>
      </text>
    </comment>
    <comment ref="C17" authorId="0" shapeId="0" xr:uid="{00000000-0006-0000-0100-000011000000}">
      <text>
        <r>
          <rPr>
            <b/>
            <sz val="10"/>
            <color indexed="81"/>
            <rFont val="Tahoma"/>
          </rPr>
          <t>BJACVariable.RSHU.Fbox_DraughtAtBurners</t>
        </r>
      </text>
    </comment>
    <comment ref="D17" authorId="0" shapeId="0" xr:uid="{00000000-0006-0000-0100-000012000000}">
      <text>
        <r>
          <rPr>
            <b/>
            <sz val="10"/>
            <color indexed="81"/>
            <rFont val="Tahoma"/>
          </rPr>
          <t>BJACVariable.RSHV.Fbox_DraughtAtBurners</t>
        </r>
      </text>
    </comment>
    <comment ref="C19" authorId="0" shapeId="0" xr:uid="{00000000-0006-0000-0100-000013000000}">
      <text>
        <r>
          <rPr>
            <b/>
            <sz val="10"/>
            <color indexed="81"/>
            <rFont val="Tahoma"/>
          </rPr>
          <t>BJACVariable.ISXU.Gas_AmbientTemperature</t>
        </r>
      </text>
    </comment>
    <comment ref="D19" authorId="0" shapeId="0" xr:uid="{00000000-0006-0000-0100-000014000000}">
      <text>
        <r>
          <rPr>
            <b/>
            <sz val="10"/>
            <color indexed="81"/>
            <rFont val="Tahoma"/>
          </rPr>
          <t>BJACVariable.ISXV.Gas_AmbientTemperature</t>
        </r>
      </text>
    </comment>
    <comment ref="C20" authorId="0" shapeId="0" xr:uid="{00000000-0006-0000-0100-000015000000}">
      <text>
        <r>
          <rPr>
            <b/>
            <sz val="10"/>
            <color indexed="81"/>
            <rFont val="Tahoma"/>
          </rPr>
          <t>BJACVariable.ISXU.Gas_AmbientTemperature</t>
        </r>
      </text>
    </comment>
    <comment ref="D20" authorId="0" shapeId="0" xr:uid="{00000000-0006-0000-0100-000016000000}">
      <text>
        <r>
          <rPr>
            <b/>
            <sz val="10"/>
            <color indexed="81"/>
            <rFont val="Tahoma"/>
          </rPr>
          <t>BJACVariable.ISXV.Gas_AmbientTemperature</t>
        </r>
      </text>
    </comment>
    <comment ref="C25" authorId="0" shapeId="0" xr:uid="{00000000-0006-0000-0100-000017000000}">
      <text>
        <r>
          <rPr>
            <b/>
            <sz val="10"/>
            <color indexed="81"/>
            <rFont val="Tahoma"/>
          </rPr>
          <t>BJACVariable.RAHU.Fuel_CalorificValueLower</t>
        </r>
      </text>
    </comment>
    <comment ref="D25" authorId="0" shapeId="0" xr:uid="{00000000-0006-0000-0100-000018000000}">
      <text>
        <r>
          <rPr>
            <b/>
            <sz val="10"/>
            <color indexed="81"/>
            <rFont val="Tahoma"/>
          </rPr>
          <t>BJACVariable.RAHV.Fuel_CalorificValueLower@-2</t>
        </r>
      </text>
    </comment>
    <comment ref="C27" authorId="0" shapeId="0" xr:uid="{00000000-0006-0000-0100-000019000000}">
      <text>
        <r>
          <rPr>
            <b/>
            <sz val="10"/>
            <color indexed="81"/>
            <rFont val="Tahoma"/>
          </rPr>
          <t>BJACVariable.IAHU.Fuel_Temperature</t>
        </r>
      </text>
    </comment>
    <comment ref="D27" authorId="0" shapeId="0" xr:uid="{00000000-0006-0000-0100-00001A000000}">
      <text>
        <r>
          <rPr>
            <b/>
            <sz val="10"/>
            <color indexed="81"/>
            <rFont val="Tahoma"/>
          </rPr>
          <t>BJACVariable.IAHV.Fuel_Temperature@1</t>
        </r>
      </text>
    </comment>
    <comment ref="D30" authorId="0" shapeId="0" xr:uid="{00000000-0006-0000-0100-00001B000000}">
      <text>
        <r>
          <rPr>
            <b/>
            <sz val="10"/>
            <color indexed="81"/>
            <rFont val="Tahoma"/>
          </rPr>
          <t>BJACVariable.RAHV.Fuel_FractionCarbon@-2</t>
        </r>
      </text>
    </comment>
    <comment ref="D31" authorId="0" shapeId="0" xr:uid="{00000000-0006-0000-0100-00001C000000}">
      <text>
        <r>
          <rPr>
            <b/>
            <sz val="10"/>
            <color indexed="81"/>
            <rFont val="Tahoma"/>
          </rPr>
          <t>BJACVariable.RAHV.Fuel_FractionHydrogen@-2</t>
        </r>
      </text>
    </comment>
    <comment ref="D32" authorId="0" shapeId="0" xr:uid="{00000000-0006-0000-0100-00001D000000}">
      <text>
        <r>
          <rPr>
            <b/>
            <sz val="10"/>
            <color indexed="81"/>
            <rFont val="Tahoma"/>
          </rPr>
          <t>BJACVariable.RAHV.Fuel_FractionSulphur@-2</t>
        </r>
      </text>
    </comment>
    <comment ref="D33" authorId="0" shapeId="0" xr:uid="{00000000-0006-0000-0100-00001E000000}">
      <text>
        <r>
          <rPr>
            <b/>
            <sz val="10"/>
            <color indexed="81"/>
            <rFont val="Tahoma"/>
          </rPr>
          <t>BJACVariable.RAHV.Fuel_FractionNitrogen@-2</t>
        </r>
      </text>
    </comment>
    <comment ref="D34" authorId="0" shapeId="0" xr:uid="{00000000-0006-0000-0100-00001F000000}">
      <text>
        <r>
          <rPr>
            <b/>
            <sz val="10"/>
            <color indexed="81"/>
            <rFont val="Tahoma"/>
          </rPr>
          <t>BJACVariable.RAHV.Fuel_FractionSulphur@-2</t>
        </r>
      </text>
    </comment>
    <comment ref="D35" authorId="0" shapeId="0" xr:uid="{00000000-0006-0000-0100-000020000000}">
      <text>
        <r>
          <rPr>
            <b/>
            <sz val="10"/>
            <color indexed="81"/>
            <rFont val="Tahoma"/>
          </rPr>
          <t>BJACVariable.RAHV.Fuel_FractionAsh@-2</t>
        </r>
      </text>
    </comment>
    <comment ref="I37" authorId="0" shapeId="0" xr:uid="{00000000-0006-0000-0100-000021000000}">
      <text>
        <r>
          <rPr>
            <b/>
            <sz val="10"/>
            <color indexed="81"/>
            <rFont val="Tahoma"/>
          </rPr>
          <t>BJACVariable.ISXV.Fbox_NumBurners</t>
        </r>
      </text>
    </comment>
    <comment ref="C38" authorId="0" shapeId="0" xr:uid="{00000000-0006-0000-0100-000022000000}">
      <text>
        <r>
          <rPr>
            <b/>
            <sz val="10"/>
            <color indexed="81"/>
            <rFont val="Tahoma"/>
          </rPr>
          <t>BJACVariable.ISXV.Fbox_BurnerType</t>
        </r>
      </text>
    </comment>
    <comment ref="I38" authorId="0" shapeId="0" xr:uid="{00000000-0006-0000-0100-000023000000}">
      <text>
        <r>
          <rPr>
            <b/>
            <sz val="10"/>
            <color indexed="81"/>
            <rFont val="Tahoma"/>
          </rPr>
          <t>BJACVariable.ISXV.Fbox_BurnerLocation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Aspen Technology</author>
  </authors>
  <commentList>
    <comment ref="C16" authorId="0" shapeId="0" xr:uid="{00000000-0006-0000-0200-000001000000}">
      <text>
        <r>
          <rPr>
            <b/>
            <sz val="10"/>
            <color indexed="81"/>
            <rFont val="Tahoma"/>
          </rPr>
          <t>BJACVariable.RAHU.FboxTubes_MaxInsideTemperature</t>
        </r>
      </text>
    </comment>
    <comment ref="D16" authorId="0" shapeId="0" xr:uid="{00000000-0006-0000-0200-000002000000}">
      <text>
        <r>
          <rPr>
            <b/>
            <sz val="10"/>
            <color indexed="81"/>
            <rFont val="Tahoma"/>
          </rPr>
          <t>BJACVariable.RSHV.Fbox_MaxInsideFoulTemp</t>
        </r>
      </text>
    </comment>
    <comment ref="E16" authorId="0" shapeId="0" xr:uid="{00000000-0006-0000-0200-000003000000}">
      <text>
        <r>
          <rPr>
            <b/>
            <sz val="10"/>
            <color indexed="81"/>
            <rFont val="Tahoma"/>
          </rPr>
          <t>BJACVariable.RAHV.Cbank_PeakTubeInnerFoulingTemperature@-2</t>
        </r>
      </text>
    </comment>
    <comment ref="C21" authorId="0" shapeId="0" xr:uid="{00000000-0006-0000-0200-000004000000}">
      <text>
        <r>
          <rPr>
            <b/>
            <sz val="10"/>
            <color indexed="81"/>
            <rFont val="Tahoma"/>
          </rPr>
          <t>BJACVariable.RAHU.BoxBank_PeakTubeWallTemperature</t>
        </r>
      </text>
    </comment>
    <comment ref="D21" authorId="0" shapeId="0" xr:uid="{00000000-0006-0000-0200-000005000000}">
      <text>
        <r>
          <rPr>
            <b/>
            <sz val="10"/>
            <color indexed="81"/>
            <rFont val="Tahoma"/>
          </rPr>
          <t>BJACVariable.RAHV.BoxBank_PeakTubeWallTemperature@-3</t>
        </r>
      </text>
    </comment>
    <comment ref="D25" authorId="0" shapeId="0" xr:uid="{00000000-0006-0000-0200-000006000000}">
      <text>
        <r>
          <rPr>
            <b/>
            <sz val="10"/>
            <color indexed="81"/>
            <rFont val="Tahoma"/>
          </rPr>
          <t>BJACVariable.ISXV.FBrow_TubeOrientation</t>
        </r>
      </text>
    </comment>
    <comment ref="E25" authorId="0" shapeId="0" xr:uid="{00000000-0006-0000-0200-000007000000}">
      <text>
        <r>
          <rPr>
            <b/>
            <sz val="10"/>
            <color indexed="81"/>
            <rFont val="Tahoma"/>
          </rPr>
          <t>BJACVariable.IAHV.Cbank_TubeOrientation@1</t>
        </r>
      </text>
    </comment>
    <comment ref="F25" authorId="0" shapeId="0" xr:uid="{00000000-0006-0000-0200-000008000000}">
      <text>
        <r>
          <rPr>
            <b/>
            <sz val="10"/>
            <color indexed="81"/>
            <rFont val="Tahoma"/>
          </rPr>
          <t>BJACVariable.IAHV.Cbank_TubeOrientation@2</t>
        </r>
      </text>
    </comment>
    <comment ref="C27" authorId="0" shapeId="0" xr:uid="{00000000-0006-0000-0200-000009000000}">
      <text>
        <r>
          <rPr>
            <b/>
            <sz val="10"/>
            <color indexed="81"/>
            <rFont val="Tahoma"/>
          </rPr>
          <t>BJACVariable.IAHU.FBtube_OutsideDiameter</t>
        </r>
      </text>
    </comment>
    <comment ref="D27" authorId="0" shapeId="0" xr:uid="{00000000-0006-0000-0200-00000A000000}">
      <text>
        <r>
          <rPr>
            <b/>
            <sz val="10"/>
            <color indexed="81"/>
            <rFont val="Tahoma"/>
          </rPr>
          <t>BJACVariable.IAHV.FBtube_OutsideDiameter@1</t>
        </r>
      </text>
    </comment>
    <comment ref="E27" authorId="0" shapeId="0" xr:uid="{00000000-0006-0000-0200-00000B000000}">
      <text>
        <r>
          <rPr>
            <b/>
            <sz val="10"/>
            <color indexed="81"/>
            <rFont val="Tahoma"/>
          </rPr>
          <t>BJACVariable.IAHV.CBtube_OutsideDiameter@1</t>
        </r>
      </text>
    </comment>
    <comment ref="F27" authorId="0" shapeId="0" xr:uid="{00000000-0006-0000-0200-00000C000000}">
      <text>
        <r>
          <rPr>
            <b/>
            <sz val="10"/>
            <color indexed="81"/>
            <rFont val="Tahoma"/>
          </rPr>
          <t>BJACVariable.IAHV.CBtube_OutsideDiameter@2</t>
        </r>
      </text>
    </comment>
    <comment ref="C28" authorId="0" shapeId="0" xr:uid="{00000000-0006-0000-0200-00000D000000}">
      <text>
        <r>
          <rPr>
            <b/>
            <sz val="10"/>
            <color indexed="81"/>
            <rFont val="Tahoma"/>
          </rPr>
          <t>BJACVariable.IAHU.FBtube_WallThickness</t>
        </r>
      </text>
    </comment>
    <comment ref="D28" authorId="0" shapeId="0" xr:uid="{00000000-0006-0000-0200-00000E000000}">
      <text>
        <r>
          <rPr>
            <b/>
            <sz val="10"/>
            <color indexed="81"/>
            <rFont val="Tahoma"/>
          </rPr>
          <t>BJACVariable.IAHV.FBtube_WallThickness@1</t>
        </r>
      </text>
    </comment>
    <comment ref="E28" authorId="0" shapeId="0" xr:uid="{00000000-0006-0000-0200-00000F000000}">
      <text>
        <r>
          <rPr>
            <b/>
            <sz val="10"/>
            <color indexed="81"/>
            <rFont val="Tahoma"/>
          </rPr>
          <t>BJACVariable.IAHV.CBtube_WallThickness@1</t>
        </r>
      </text>
    </comment>
    <comment ref="F28" authorId="0" shapeId="0" xr:uid="{00000000-0006-0000-0200-000010000000}">
      <text>
        <r>
          <rPr>
            <b/>
            <sz val="10"/>
            <color indexed="81"/>
            <rFont val="Tahoma"/>
          </rPr>
          <t>BJACVariable.IAHV.CBtube_WallThickness@2</t>
        </r>
      </text>
    </comment>
    <comment ref="E31" authorId="0" shapeId="0" xr:uid="{00000000-0006-0000-0200-000011000000}">
      <text>
        <r>
          <rPr>
            <b/>
            <sz val="10"/>
            <color indexed="81"/>
            <rFont val="Tahoma"/>
          </rPr>
          <t>BJACVariable.IAHV.Cbank_NumRows@1</t>
        </r>
      </text>
    </comment>
    <comment ref="F31" authorId="0" shapeId="0" xr:uid="{00000000-0006-0000-0200-000012000000}">
      <text>
        <r>
          <rPr>
            <b/>
            <sz val="10"/>
            <color indexed="81"/>
            <rFont val="Tahoma"/>
          </rPr>
          <t>BJACVariable.IAHV.Cbank_NumRows@2</t>
        </r>
      </text>
    </comment>
    <comment ref="E32" authorId="0" shapeId="0" xr:uid="{00000000-0006-0000-0200-000013000000}">
      <text>
        <r>
          <rPr>
            <b/>
            <sz val="10"/>
            <color indexed="81"/>
            <rFont val="Tahoma"/>
          </rPr>
          <t>BJACVariable.IAHV.Cbank_NumTubesInPathInRow@1</t>
        </r>
      </text>
    </comment>
    <comment ref="F32" authorId="0" shapeId="0" xr:uid="{00000000-0006-0000-0200-000014000000}">
      <text>
        <r>
          <rPr>
            <b/>
            <sz val="10"/>
            <color indexed="81"/>
            <rFont val="Tahoma"/>
          </rPr>
          <t>BJACVariable.IAHV.Cbank_NumTubesInPathInRow@2</t>
        </r>
      </text>
    </comment>
    <comment ref="C34" authorId="0" shapeId="0" xr:uid="{00000000-0006-0000-0200-000015000000}">
      <text>
        <r>
          <rPr>
            <b/>
            <sz val="10"/>
            <color indexed="81"/>
            <rFont val="Tahoma"/>
          </rPr>
          <t>BJACVariable.ISXU.FBrow_TubeLength</t>
        </r>
      </text>
    </comment>
    <comment ref="C36" authorId="0" shapeId="0" xr:uid="{00000000-0006-0000-0200-000016000000}">
      <text>
        <r>
          <rPr>
            <b/>
            <sz val="10"/>
            <color indexed="81"/>
            <rFont val="Tahoma"/>
          </rPr>
          <t>BJACVariable.RAHU.BoxBank_BareArea</t>
        </r>
      </text>
    </comment>
    <comment ref="C38" authorId="0" shapeId="0" xr:uid="{00000000-0006-0000-0200-000017000000}">
      <text>
        <r>
          <rPr>
            <b/>
            <sz val="10"/>
            <color indexed="81"/>
            <rFont val="Tahoma"/>
          </rPr>
          <t>BJACVariable.RAHU.BoxBank_TotalArea</t>
        </r>
      </text>
    </comment>
    <comment ref="E39" authorId="0" shapeId="0" xr:uid="{00000000-0006-0000-0200-000018000000}">
      <text>
        <r>
          <rPr>
            <b/>
            <sz val="10"/>
            <color indexed="81"/>
            <rFont val="Tahoma"/>
          </rPr>
          <t>BJACVariable.IAHV.Cbank_TubeLayout@1</t>
        </r>
      </text>
    </comment>
    <comment ref="F39" authorId="0" shapeId="0" xr:uid="{00000000-0006-0000-0200-000019000000}">
      <text>
        <r>
          <rPr>
            <b/>
            <sz val="10"/>
            <color indexed="81"/>
            <rFont val="Tahoma"/>
          </rPr>
          <t>BJACVariable.IAHV.Cbank_TubeLayout@2</t>
        </r>
      </text>
    </comment>
    <comment ref="C40" authorId="0" shapeId="0" xr:uid="{00000000-0006-0000-0200-00001A000000}">
      <text>
        <r>
          <rPr>
            <b/>
            <sz val="10"/>
            <color indexed="81"/>
            <rFont val="Tahoma"/>
          </rPr>
          <t>BJACVariable.IAHU.CBtube_PitchInRow</t>
        </r>
      </text>
    </comment>
    <comment ref="E40" authorId="0" shapeId="0" xr:uid="{00000000-0006-0000-0200-00001B000000}">
      <text>
        <r>
          <rPr>
            <b/>
            <sz val="10"/>
            <color indexed="81"/>
            <rFont val="Tahoma"/>
          </rPr>
          <t>BJACVariable.IAHV.CBtube_PitchInRow@1</t>
        </r>
      </text>
    </comment>
    <comment ref="F40" authorId="0" shapeId="0" xr:uid="{00000000-0006-0000-0200-00001C000000}">
      <text>
        <r>
          <rPr>
            <b/>
            <sz val="10"/>
            <color indexed="81"/>
            <rFont val="Tahoma"/>
          </rPr>
          <t>BJACVariable.IAHV.CBtube_PitchInRow@2</t>
        </r>
      </text>
    </comment>
    <comment ref="E45" authorId="0" shapeId="0" xr:uid="{00000000-0006-0000-0200-00001D000000}">
      <text>
        <r>
          <rPr>
            <b/>
            <sz val="10"/>
            <color indexed="81"/>
            <rFont val="Tahoma"/>
          </rPr>
          <t>BJACVariable.IAHV.CBtube_EnhancementType@1</t>
        </r>
      </text>
    </comment>
    <comment ref="F45" authorId="0" shapeId="0" xr:uid="{00000000-0006-0000-0200-00001E000000}">
      <text>
        <r>
          <rPr>
            <b/>
            <sz val="10"/>
            <color indexed="81"/>
            <rFont val="Tahoma"/>
          </rPr>
          <t>BJACVariable.IAHV.CBtube_EnhancementType@2</t>
        </r>
      </text>
    </comment>
    <comment ref="C47" authorId="0" shapeId="0" xr:uid="{00000000-0006-0000-0200-00001F000000}">
      <text>
        <r>
          <rPr>
            <b/>
            <sz val="10"/>
            <color indexed="81"/>
            <rFont val="Tahoma"/>
          </rPr>
          <t>BJACVariable.IAHU.CBtube_FinHeight</t>
        </r>
      </text>
    </comment>
    <comment ref="C48" authorId="0" shapeId="0" xr:uid="{00000000-0006-0000-0200-000020000000}">
      <text>
        <r>
          <rPr>
            <b/>
            <sz val="10"/>
            <color indexed="81"/>
            <rFont val="Tahoma"/>
          </rPr>
          <t>BJACVariable.IAHU.CBtube_FinThickness</t>
        </r>
      </text>
    </comment>
    <comment ref="C50" authorId="0" shapeId="0" xr:uid="{00000000-0006-0000-0200-000021000000}">
      <text>
        <r>
          <rPr>
            <b/>
            <sz val="10"/>
            <color indexed="81"/>
            <rFont val="Tahoma"/>
          </rPr>
          <t>BJACVariable.IAHU.CBtube_FinFrequency</t>
        </r>
      </text>
    </comment>
    <comment ref="C51" authorId="0" shapeId="0" xr:uid="{00000000-0006-0000-0200-000022000000}">
      <text>
        <r>
          <rPr>
            <b/>
            <sz val="10"/>
            <color indexed="81"/>
            <rFont val="Tahoma"/>
          </rPr>
          <t>BJACVariable.RAHU.Cbank_PeakFinTipTemperature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Aspen Technology</author>
  </authors>
  <commentList>
    <comment ref="B4" authorId="0" shapeId="0" xr:uid="{00000000-0006-0000-0300-000001000000}">
      <text>
        <r>
          <rPr>
            <b/>
            <sz val="10"/>
            <color indexed="81"/>
            <rFont val="Tahoma"/>
          </rPr>
          <t>BJACVariable.ISXV.Fbox_FiredHeaterType</t>
        </r>
      </text>
    </comment>
    <comment ref="C4" authorId="0" shapeId="0" xr:uid="{00000000-0006-0000-0300-000002000000}">
      <text>
        <r>
          <rPr>
            <b/>
            <sz val="10"/>
            <color indexed="81"/>
            <rFont val="Tahoma"/>
          </rPr>
          <t>BJACVariable.ISXI.Fbox_FiredHeaterType</t>
        </r>
      </text>
    </comment>
    <comment ref="B5" authorId="0" shapeId="0" xr:uid="{00000000-0006-0000-0300-000003000000}">
      <text>
        <r>
          <rPr>
            <b/>
            <sz val="10"/>
            <color indexed="81"/>
            <rFont val="Tahoma"/>
          </rPr>
          <t>BJACVariable.ISXV.Fbox_TubeRowLayout</t>
        </r>
      </text>
    </comment>
    <comment ref="C5" authorId="0" shapeId="0" xr:uid="{00000000-0006-0000-0300-000004000000}">
      <text>
        <r>
          <rPr>
            <b/>
            <sz val="10"/>
            <color indexed="81"/>
            <rFont val="Tahoma"/>
          </rPr>
          <t>BJACVariable.ISXI.Fbox_TubeRowLayout</t>
        </r>
      </text>
    </comment>
    <comment ref="B6" authorId="0" shapeId="0" xr:uid="{00000000-0006-0000-0300-000005000000}">
      <text>
        <r>
          <rPr>
            <b/>
            <sz val="10"/>
            <color indexed="81"/>
            <rFont val="Tahoma"/>
          </rPr>
          <t>BJACVariable.ISXV.FBrow_NumLines</t>
        </r>
      </text>
    </comment>
    <comment ref="B13" authorId="0" shapeId="0" xr:uid="{00000000-0006-0000-0300-000006000000}">
      <text>
        <r>
          <rPr>
            <b/>
            <sz val="10"/>
            <color indexed="81"/>
            <rFont val="Tahoma"/>
          </rPr>
          <t>BJACVariable.ISXV.FBrow_NumPathsInLine</t>
        </r>
      </text>
    </comment>
    <comment ref="B17" authorId="0" shapeId="0" xr:uid="{00000000-0006-0000-0300-000007000000}">
      <text>
        <r>
          <rPr>
            <b/>
            <sz val="10"/>
            <color indexed="81"/>
            <rFont val="Tahoma"/>
          </rPr>
          <t>BJACVariable.IAHV.Cbank_RowsInSeries@1</t>
        </r>
      </text>
    </comment>
    <comment ref="C17" authorId="0" shapeId="0" xr:uid="{00000000-0006-0000-0300-000008000000}">
      <text>
        <r>
          <rPr>
            <b/>
            <sz val="10"/>
            <color indexed="81"/>
            <rFont val="Tahoma"/>
          </rPr>
          <t>BJACVariable.IAHV.Cbank_RowsInSeries@2</t>
        </r>
      </text>
    </comment>
    <comment ref="D17" authorId="0" shapeId="0" xr:uid="{00000000-0006-0000-0300-000009000000}">
      <text>
        <r>
          <rPr>
            <b/>
            <sz val="10"/>
            <color indexed="81"/>
            <rFont val="Tahoma"/>
          </rPr>
          <t>BJACVariable.IAHV.Cbank_RowsInSeries@3</t>
        </r>
      </text>
    </comment>
    <comment ref="E17" authorId="0" shapeId="0" xr:uid="{00000000-0006-0000-0300-00000A000000}">
      <text>
        <r>
          <rPr>
            <b/>
            <sz val="10"/>
            <color indexed="81"/>
            <rFont val="Tahoma"/>
          </rPr>
          <t>BJACVariable.IAHI.Cbank_RowsInSeries@3</t>
        </r>
      </text>
    </comment>
    <comment ref="F17" authorId="0" shapeId="0" xr:uid="{00000000-0006-0000-0300-00000B000000}">
      <text>
        <r>
          <rPr>
            <b/>
            <sz val="10"/>
            <color indexed="81"/>
            <rFont val="Tahoma"/>
          </rPr>
          <t>BJACVariable.IAHV.Cbank_RowsInSeries@4</t>
        </r>
      </text>
    </comment>
    <comment ref="G17" authorId="0" shapeId="0" xr:uid="{00000000-0006-0000-0300-00000C000000}">
      <text>
        <r>
          <rPr>
            <b/>
            <sz val="10"/>
            <color indexed="81"/>
            <rFont val="Tahoma"/>
          </rPr>
          <t>BJACVariable.IAHI.Cbank_RowsInSeries@4</t>
        </r>
      </text>
    </comment>
    <comment ref="H17" authorId="0" shapeId="0" xr:uid="{00000000-0006-0000-0300-00000D000000}">
      <text>
        <r>
          <rPr>
            <b/>
            <sz val="10"/>
            <color indexed="81"/>
            <rFont val="Tahoma"/>
          </rPr>
          <t>BJACVariable.IAHV.Cbank_RowsInSeries@5</t>
        </r>
      </text>
    </comment>
    <comment ref="I17" authorId="0" shapeId="0" xr:uid="{00000000-0006-0000-0300-00000E000000}">
      <text>
        <r>
          <rPr>
            <b/>
            <sz val="10"/>
            <color indexed="81"/>
            <rFont val="Tahoma"/>
          </rPr>
          <t>BJACVariable.IAHI.Cbank_RowsInSeries@5</t>
        </r>
      </text>
    </comment>
    <comment ref="J17" authorId="0" shapeId="0" xr:uid="{00000000-0006-0000-0300-00000F000000}">
      <text>
        <r>
          <rPr>
            <b/>
            <sz val="10"/>
            <color indexed="81"/>
            <rFont val="Tahoma"/>
          </rPr>
          <t>BJACVariable.IAHV.Cbank_RowsInSeries@6</t>
        </r>
      </text>
    </comment>
    <comment ref="K17" authorId="0" shapeId="0" xr:uid="{00000000-0006-0000-0300-000010000000}">
      <text>
        <r>
          <rPr>
            <b/>
            <sz val="10"/>
            <color indexed="81"/>
            <rFont val="Tahoma"/>
          </rPr>
          <t>BJACVariable.IAHI.Cbank_RowsInSeries@6</t>
        </r>
      </text>
    </comment>
    <comment ref="L17" authorId="0" shapeId="0" xr:uid="{00000000-0006-0000-0300-000011000000}">
      <text>
        <r>
          <rPr>
            <b/>
            <sz val="10"/>
            <color indexed="81"/>
            <rFont val="Tahoma"/>
          </rPr>
          <t>BJACVariable.IAHV.Cbank_RowsInSeries@7</t>
        </r>
      </text>
    </comment>
    <comment ref="M17" authorId="0" shapeId="0" xr:uid="{00000000-0006-0000-0300-000012000000}">
      <text>
        <r>
          <rPr>
            <b/>
            <sz val="10"/>
            <color indexed="81"/>
            <rFont val="Tahoma"/>
          </rPr>
          <t>BJACVariable.IAHI.Cbank_RowsInSeries@7</t>
        </r>
      </text>
    </comment>
    <comment ref="N17" authorId="0" shapeId="0" xr:uid="{00000000-0006-0000-0300-000013000000}">
      <text>
        <r>
          <rPr>
            <b/>
            <sz val="10"/>
            <color indexed="81"/>
            <rFont val="Tahoma"/>
          </rPr>
          <t>BJACVariable.IAHV.Cbank_RowsInSeries@8</t>
        </r>
      </text>
    </comment>
    <comment ref="O17" authorId="0" shapeId="0" xr:uid="{00000000-0006-0000-0300-000014000000}">
      <text>
        <r>
          <rPr>
            <b/>
            <sz val="10"/>
            <color indexed="81"/>
            <rFont val="Tahoma"/>
          </rPr>
          <t>BJACVariable.IAHI.Cbank_RowsInSeries@8</t>
        </r>
      </text>
    </comment>
    <comment ref="P17" authorId="0" shapeId="0" xr:uid="{00000000-0006-0000-0300-000015000000}">
      <text>
        <r>
          <rPr>
            <b/>
            <sz val="10"/>
            <color indexed="81"/>
            <rFont val="Tahoma"/>
          </rPr>
          <t>BJACVariable.IAHV.Cbank_RowsInSeries@9</t>
        </r>
      </text>
    </comment>
    <comment ref="B18" authorId="0" shapeId="0" xr:uid="{00000000-0006-0000-0300-000016000000}">
      <text>
        <r>
          <rPr>
            <b/>
            <sz val="10"/>
            <color indexed="81"/>
            <rFont val="Tahoma"/>
          </rPr>
          <t>BJACVariable.IAHV.Cbank_NumRows@1</t>
        </r>
      </text>
    </comment>
    <comment ref="C18" authorId="0" shapeId="0" xr:uid="{00000000-0006-0000-0300-000017000000}">
      <text>
        <r>
          <rPr>
            <b/>
            <sz val="10"/>
            <color indexed="81"/>
            <rFont val="Tahoma"/>
          </rPr>
          <t>BJACVariable.IAHV.Cbank_NumRows@2</t>
        </r>
      </text>
    </comment>
    <comment ref="D18" authorId="0" shapeId="0" xr:uid="{00000000-0006-0000-0300-000018000000}">
      <text>
        <r>
          <rPr>
            <b/>
            <sz val="10"/>
            <color indexed="81"/>
            <rFont val="Tahoma"/>
          </rPr>
          <t>BJACVariable.IAHV.Cbank_NumRows@3</t>
        </r>
      </text>
    </comment>
    <comment ref="E18" authorId="0" shapeId="0" xr:uid="{00000000-0006-0000-0300-000019000000}">
      <text>
        <r>
          <rPr>
            <b/>
            <sz val="10"/>
            <color indexed="81"/>
            <rFont val="Tahoma"/>
          </rPr>
          <t>BJACVariable.IAHV.Cbank_NumRows@4</t>
        </r>
      </text>
    </comment>
    <comment ref="F18" authorId="0" shapeId="0" xr:uid="{00000000-0006-0000-0300-00001A000000}">
      <text>
        <r>
          <rPr>
            <b/>
            <sz val="10"/>
            <color indexed="81"/>
            <rFont val="Tahoma"/>
          </rPr>
          <t>BJACVariable.IAHV.Cbank_NumRows@5</t>
        </r>
      </text>
    </comment>
    <comment ref="G18" authorId="0" shapeId="0" xr:uid="{00000000-0006-0000-0300-00001B000000}">
      <text>
        <r>
          <rPr>
            <b/>
            <sz val="10"/>
            <color indexed="81"/>
            <rFont val="Tahoma"/>
          </rPr>
          <t>BJACVariable.IAHV.Cbank_NumRows@6</t>
        </r>
      </text>
    </comment>
    <comment ref="H18" authorId="0" shapeId="0" xr:uid="{00000000-0006-0000-0300-00001C000000}">
      <text>
        <r>
          <rPr>
            <b/>
            <sz val="10"/>
            <color indexed="81"/>
            <rFont val="Tahoma"/>
          </rPr>
          <t>BJACVariable.IAHV.Cbank_NumRows@7</t>
        </r>
      </text>
    </comment>
    <comment ref="I18" authorId="0" shapeId="0" xr:uid="{00000000-0006-0000-0300-00001D000000}">
      <text>
        <r>
          <rPr>
            <b/>
            <sz val="10"/>
            <color indexed="81"/>
            <rFont val="Tahoma"/>
          </rPr>
          <t>BJACVariable.IAHV.Cbank_NumRows@8</t>
        </r>
      </text>
    </comment>
    <comment ref="J18" authorId="0" shapeId="0" xr:uid="{00000000-0006-0000-0300-00001E000000}">
      <text>
        <r>
          <rPr>
            <b/>
            <sz val="10"/>
            <color indexed="81"/>
            <rFont val="Tahoma"/>
          </rPr>
          <t>BJACVariable.IAHV.Cbank_NumRows@9</t>
        </r>
      </text>
    </comment>
    <comment ref="B19" authorId="0" shapeId="0" xr:uid="{00000000-0006-0000-0300-00001F000000}">
      <text>
        <r>
          <rPr>
            <b/>
            <sz val="10"/>
            <color indexed="81"/>
            <rFont val="Tahoma"/>
          </rPr>
          <t>BJACVariable.IAHV.Cbank_NumPathsInRow@1</t>
        </r>
      </text>
    </comment>
    <comment ref="C19" authorId="0" shapeId="0" xr:uid="{00000000-0006-0000-0300-000020000000}">
      <text>
        <r>
          <rPr>
            <b/>
            <sz val="10"/>
            <color indexed="81"/>
            <rFont val="Tahoma"/>
          </rPr>
          <t>BJACVariable.IAHV.Cbank_NumPathsInRow@2</t>
        </r>
      </text>
    </comment>
    <comment ref="D19" authorId="0" shapeId="0" xr:uid="{00000000-0006-0000-0300-000021000000}">
      <text>
        <r>
          <rPr>
            <b/>
            <sz val="10"/>
            <color indexed="81"/>
            <rFont val="Tahoma"/>
          </rPr>
          <t>BJACVariable.IAHV.Cbank_NumPathsInRow@3</t>
        </r>
      </text>
    </comment>
    <comment ref="E19" authorId="0" shapeId="0" xr:uid="{00000000-0006-0000-0300-000022000000}">
      <text>
        <r>
          <rPr>
            <b/>
            <sz val="10"/>
            <color indexed="81"/>
            <rFont val="Tahoma"/>
          </rPr>
          <t>BJACVariable.IAHV.Cbank_NumPathsInRow@4</t>
        </r>
      </text>
    </comment>
    <comment ref="F19" authorId="0" shapeId="0" xr:uid="{00000000-0006-0000-0300-000023000000}">
      <text>
        <r>
          <rPr>
            <b/>
            <sz val="10"/>
            <color indexed="81"/>
            <rFont val="Tahoma"/>
          </rPr>
          <t>BJACVariable.IAHV.Cbank_NumPathsInRow@5</t>
        </r>
      </text>
    </comment>
    <comment ref="G19" authorId="0" shapeId="0" xr:uid="{00000000-0006-0000-0300-000024000000}">
      <text>
        <r>
          <rPr>
            <b/>
            <sz val="10"/>
            <color indexed="81"/>
            <rFont val="Tahoma"/>
          </rPr>
          <t>BJACVariable.IAHV.Cbank_NumPathsInRow@6</t>
        </r>
      </text>
    </comment>
    <comment ref="H19" authorId="0" shapeId="0" xr:uid="{00000000-0006-0000-0300-000025000000}">
      <text>
        <r>
          <rPr>
            <b/>
            <sz val="10"/>
            <color indexed="81"/>
            <rFont val="Tahoma"/>
          </rPr>
          <t>BJACVariable.IAHV.Cbank_NumPathsInRow@7</t>
        </r>
      </text>
    </comment>
    <comment ref="I19" authorId="0" shapeId="0" xr:uid="{00000000-0006-0000-0300-000026000000}">
      <text>
        <r>
          <rPr>
            <b/>
            <sz val="10"/>
            <color indexed="81"/>
            <rFont val="Tahoma"/>
          </rPr>
          <t>BJACVariable.IAHV.Cbank_NumPathsInRow@8</t>
        </r>
      </text>
    </comment>
    <comment ref="J19" authorId="0" shapeId="0" xr:uid="{00000000-0006-0000-0300-000027000000}">
      <text>
        <r>
          <rPr>
            <b/>
            <sz val="10"/>
            <color indexed="81"/>
            <rFont val="Tahoma"/>
          </rPr>
          <t>BJACVariable.IAHV.Cbank_NumPathsInRow@9</t>
        </r>
      </text>
    </comment>
    <comment ref="B22" authorId="0" shapeId="0" xr:uid="{00000000-0006-0000-0300-000028000000}">
      <text>
        <r>
          <rPr>
            <b/>
            <sz val="10"/>
            <color indexed="81"/>
            <rFont val="Tahoma"/>
          </rPr>
          <t>BJACVariable.RAHU.BoxBank_BareArea</t>
        </r>
      </text>
    </comment>
    <comment ref="C22" authorId="0" shapeId="0" xr:uid="{00000000-0006-0000-0300-000029000000}">
      <text>
        <r>
          <rPr>
            <b/>
            <sz val="10"/>
            <color indexed="81"/>
            <rFont val="Tahoma"/>
          </rPr>
          <t>BJACVariable.RAHV.BoxBank_BareArea@-3</t>
        </r>
      </text>
    </comment>
    <comment ref="B23" authorId="0" shapeId="0" xr:uid="{00000000-0006-0000-0300-00002A000000}">
      <text>
        <r>
          <rPr>
            <b/>
            <sz val="10"/>
            <color indexed="81"/>
            <rFont val="Tahoma"/>
          </rPr>
          <t>BJACVariable.RAHU.BoxBank_TotalArea</t>
        </r>
      </text>
    </comment>
    <comment ref="C23" authorId="0" shapeId="0" xr:uid="{00000000-0006-0000-0300-00002B000000}">
      <text>
        <r>
          <rPr>
            <b/>
            <sz val="10"/>
            <color indexed="81"/>
            <rFont val="Tahoma"/>
          </rPr>
          <t>BJACVariable.RAHV.BoxBank_TotalArea@-3</t>
        </r>
      </text>
    </comment>
    <comment ref="B24" authorId="0" shapeId="0" xr:uid="{00000000-0006-0000-0300-00002C000000}">
      <text>
        <r>
          <rPr>
            <b/>
            <sz val="10"/>
            <color indexed="81"/>
            <rFont val="Tahoma"/>
          </rPr>
          <t>BJACVariable.RAHV.BoxBank_RatioTotalToBareArea@-3</t>
        </r>
      </text>
    </comment>
    <comment ref="B25" authorId="0" shapeId="0" xr:uid="{00000000-0006-0000-0300-00002D000000}">
      <text>
        <r>
          <rPr>
            <b/>
            <sz val="10"/>
            <color indexed="81"/>
            <rFont val="Tahoma"/>
          </rPr>
          <t>BJACVariable.RAHU.Cbank_PeakFinTipTemperature</t>
        </r>
      </text>
    </comment>
    <comment ref="C25" authorId="0" shapeId="0" xr:uid="{00000000-0006-0000-0300-00002E000000}">
      <text>
        <r>
          <rPr>
            <b/>
            <sz val="10"/>
            <color indexed="81"/>
            <rFont val="Tahoma"/>
          </rPr>
          <t>BJACVariable.RAHV.Cbank_PeakFinTipTemperature@-2</t>
        </r>
      </text>
    </comment>
    <comment ref="B27" authorId="0" shapeId="0" xr:uid="{00000000-0006-0000-0300-00002F000000}">
      <text>
        <r>
          <rPr>
            <b/>
            <sz val="10"/>
            <color indexed="81"/>
            <rFont val="Tahoma"/>
          </rPr>
          <t>BJACVariable.IAHU.CBtube_FinHeight</t>
        </r>
      </text>
    </comment>
    <comment ref="C27" authorId="0" shapeId="0" xr:uid="{00000000-0006-0000-0300-000030000000}">
      <text>
        <r>
          <rPr>
            <b/>
            <sz val="10"/>
            <color indexed="81"/>
            <rFont val="Tahoma"/>
          </rPr>
          <t>BJACVariable.IAHV.CBtube_FinHeight@1</t>
        </r>
      </text>
    </comment>
    <comment ref="D27" authorId="0" shapeId="0" xr:uid="{00000000-0006-0000-0300-000031000000}">
      <text>
        <r>
          <rPr>
            <b/>
            <sz val="10"/>
            <color indexed="81"/>
            <rFont val="Tahoma"/>
          </rPr>
          <t>BJACVariable.IAHV.CBtube_FinHeight@2</t>
        </r>
      </text>
    </comment>
    <comment ref="E27" authorId="0" shapeId="0" xr:uid="{00000000-0006-0000-0300-000032000000}">
      <text>
        <r>
          <rPr>
            <b/>
            <sz val="10"/>
            <color indexed="81"/>
            <rFont val="Tahoma"/>
          </rPr>
          <t>BJACVariable.IAHV.CBtube_FinHeight@3</t>
        </r>
      </text>
    </comment>
    <comment ref="F27" authorId="0" shapeId="0" xr:uid="{00000000-0006-0000-0300-000033000000}">
      <text>
        <r>
          <rPr>
            <b/>
            <sz val="10"/>
            <color indexed="81"/>
            <rFont val="Tahoma"/>
          </rPr>
          <t>BJACVariable.IAHV.CBtube_FinHeight@4</t>
        </r>
      </text>
    </comment>
    <comment ref="G27" authorId="0" shapeId="0" xr:uid="{00000000-0006-0000-0300-000034000000}">
      <text>
        <r>
          <rPr>
            <b/>
            <sz val="10"/>
            <color indexed="81"/>
            <rFont val="Tahoma"/>
          </rPr>
          <t>BJACVariable.IAHV.CBtube_FinHeight@5</t>
        </r>
      </text>
    </comment>
    <comment ref="H27" authorId="0" shapeId="0" xr:uid="{00000000-0006-0000-0300-000035000000}">
      <text>
        <r>
          <rPr>
            <b/>
            <sz val="10"/>
            <color indexed="81"/>
            <rFont val="Tahoma"/>
          </rPr>
          <t>BJACVariable.IAHV.CBtube_FinHeight@6</t>
        </r>
      </text>
    </comment>
    <comment ref="I27" authorId="0" shapeId="0" xr:uid="{00000000-0006-0000-0300-000036000000}">
      <text>
        <r>
          <rPr>
            <b/>
            <sz val="10"/>
            <color indexed="81"/>
            <rFont val="Tahoma"/>
          </rPr>
          <t>BJACVariable.IAHV.CBtube_FinHeight@7</t>
        </r>
      </text>
    </comment>
    <comment ref="J27" authorId="0" shapeId="0" xr:uid="{00000000-0006-0000-0300-000037000000}">
      <text>
        <r>
          <rPr>
            <b/>
            <sz val="10"/>
            <color indexed="81"/>
            <rFont val="Tahoma"/>
          </rPr>
          <t>BJACVariable.IAHV.CBtube_FinHeight@8</t>
        </r>
      </text>
    </comment>
    <comment ref="K27" authorId="0" shapeId="0" xr:uid="{00000000-0006-0000-0300-000038000000}">
      <text>
        <r>
          <rPr>
            <b/>
            <sz val="10"/>
            <color indexed="81"/>
            <rFont val="Tahoma"/>
          </rPr>
          <t>BJACVariable.IAHV.CBtube_FinHeight@9</t>
        </r>
      </text>
    </comment>
    <comment ref="B28" authorId="0" shapeId="0" xr:uid="{00000000-0006-0000-0300-000039000000}">
      <text>
        <r>
          <rPr>
            <b/>
            <sz val="10"/>
            <color indexed="81"/>
            <rFont val="Tahoma"/>
          </rPr>
          <t>BJACVariable.IAHU.CBtube_StudHeight</t>
        </r>
      </text>
    </comment>
    <comment ref="C28" authorId="0" shapeId="0" xr:uid="{00000000-0006-0000-0300-00003A000000}">
      <text>
        <r>
          <rPr>
            <b/>
            <sz val="10"/>
            <color indexed="81"/>
            <rFont val="Tahoma"/>
          </rPr>
          <t>BJACVariable.IAHV.CBtube_StudHeight@1</t>
        </r>
      </text>
    </comment>
    <comment ref="D28" authorId="0" shapeId="0" xr:uid="{00000000-0006-0000-0300-00003B000000}">
      <text>
        <r>
          <rPr>
            <b/>
            <sz val="10"/>
            <color indexed="81"/>
            <rFont val="Tahoma"/>
          </rPr>
          <t>BJACVariable.IAHV.CBtube_StudHeight@2</t>
        </r>
      </text>
    </comment>
    <comment ref="E28" authorId="0" shapeId="0" xr:uid="{00000000-0006-0000-0300-00003C000000}">
      <text>
        <r>
          <rPr>
            <b/>
            <sz val="10"/>
            <color indexed="81"/>
            <rFont val="Tahoma"/>
          </rPr>
          <t>BJACVariable.IAHV.CBtube_StudHeight@3</t>
        </r>
      </text>
    </comment>
    <comment ref="F28" authorId="0" shapeId="0" xr:uid="{00000000-0006-0000-0300-00003D000000}">
      <text>
        <r>
          <rPr>
            <b/>
            <sz val="10"/>
            <color indexed="81"/>
            <rFont val="Tahoma"/>
          </rPr>
          <t>BJACVariable.IAHV.CBtube_StudHeight@4</t>
        </r>
      </text>
    </comment>
    <comment ref="G28" authorId="0" shapeId="0" xr:uid="{00000000-0006-0000-0300-00003E000000}">
      <text>
        <r>
          <rPr>
            <b/>
            <sz val="10"/>
            <color indexed="81"/>
            <rFont val="Tahoma"/>
          </rPr>
          <t>BJACVariable.IAHV.CBtube_StudHeight@5</t>
        </r>
      </text>
    </comment>
    <comment ref="H28" authorId="0" shapeId="0" xr:uid="{00000000-0006-0000-0300-00003F000000}">
      <text>
        <r>
          <rPr>
            <b/>
            <sz val="10"/>
            <color indexed="81"/>
            <rFont val="Tahoma"/>
          </rPr>
          <t>BJACVariable.IAHV.CBtube_StudHeight@6</t>
        </r>
      </text>
    </comment>
    <comment ref="I28" authorId="0" shapeId="0" xr:uid="{00000000-0006-0000-0300-000040000000}">
      <text>
        <r>
          <rPr>
            <b/>
            <sz val="10"/>
            <color indexed="81"/>
            <rFont val="Tahoma"/>
          </rPr>
          <t>BJACVariable.IAHV.CBtube_StudHeight@7</t>
        </r>
      </text>
    </comment>
    <comment ref="J28" authorId="0" shapeId="0" xr:uid="{00000000-0006-0000-0300-000041000000}">
      <text>
        <r>
          <rPr>
            <b/>
            <sz val="10"/>
            <color indexed="81"/>
            <rFont val="Tahoma"/>
          </rPr>
          <t>BJACVariable.IAHV.CBtube_StudHeight@8</t>
        </r>
      </text>
    </comment>
    <comment ref="K28" authorId="0" shapeId="0" xr:uid="{00000000-0006-0000-0300-000042000000}">
      <text>
        <r>
          <rPr>
            <b/>
            <sz val="10"/>
            <color indexed="81"/>
            <rFont val="Tahoma"/>
          </rPr>
          <t>BJACVariable.IAHV.CBtube_StudHeight@9</t>
        </r>
      </text>
    </comment>
    <comment ref="B30" authorId="0" shapeId="0" xr:uid="{00000000-0006-0000-0300-000043000000}">
      <text>
        <r>
          <rPr>
            <b/>
            <sz val="10"/>
            <color indexed="81"/>
            <rFont val="Tahoma"/>
          </rPr>
          <t>BJACVariable.IAHU.CBtube_FinThickness</t>
        </r>
      </text>
    </comment>
    <comment ref="C30" authorId="0" shapeId="0" xr:uid="{00000000-0006-0000-0300-000044000000}">
      <text>
        <r>
          <rPr>
            <b/>
            <sz val="10"/>
            <color indexed="81"/>
            <rFont val="Tahoma"/>
          </rPr>
          <t>BJACVariable.IAHV.CBtube_FinThickness@1</t>
        </r>
      </text>
    </comment>
    <comment ref="D30" authorId="0" shapeId="0" xr:uid="{00000000-0006-0000-0300-000045000000}">
      <text>
        <r>
          <rPr>
            <b/>
            <sz val="10"/>
            <color indexed="81"/>
            <rFont val="Tahoma"/>
          </rPr>
          <t>BJACVariable.IAHV.CBtube_FinThickness@2</t>
        </r>
      </text>
    </comment>
    <comment ref="E30" authorId="0" shapeId="0" xr:uid="{00000000-0006-0000-0300-000046000000}">
      <text>
        <r>
          <rPr>
            <b/>
            <sz val="10"/>
            <color indexed="81"/>
            <rFont val="Tahoma"/>
          </rPr>
          <t>BJACVariable.IAHV.CBtube_FinThickness@3</t>
        </r>
      </text>
    </comment>
    <comment ref="F30" authorId="0" shapeId="0" xr:uid="{00000000-0006-0000-0300-000047000000}">
      <text>
        <r>
          <rPr>
            <b/>
            <sz val="10"/>
            <color indexed="81"/>
            <rFont val="Tahoma"/>
          </rPr>
          <t>BJACVariable.IAHV.CBtube_FinThickness@4</t>
        </r>
      </text>
    </comment>
    <comment ref="G30" authorId="0" shapeId="0" xr:uid="{00000000-0006-0000-0300-000048000000}">
      <text>
        <r>
          <rPr>
            <b/>
            <sz val="10"/>
            <color indexed="81"/>
            <rFont val="Tahoma"/>
          </rPr>
          <t>BJACVariable.IAHV.CBtube_FinThickness@5</t>
        </r>
      </text>
    </comment>
    <comment ref="H30" authorId="0" shapeId="0" xr:uid="{00000000-0006-0000-0300-000049000000}">
      <text>
        <r>
          <rPr>
            <b/>
            <sz val="10"/>
            <color indexed="81"/>
            <rFont val="Tahoma"/>
          </rPr>
          <t>BJACVariable.IAHV.CBtube_FinThickness@6</t>
        </r>
      </text>
    </comment>
    <comment ref="I30" authorId="0" shapeId="0" xr:uid="{00000000-0006-0000-0300-00004A000000}">
      <text>
        <r>
          <rPr>
            <b/>
            <sz val="10"/>
            <color indexed="81"/>
            <rFont val="Tahoma"/>
          </rPr>
          <t>BJACVariable.IAHV.CBtube_FinThickness@7</t>
        </r>
      </text>
    </comment>
    <comment ref="J30" authorId="0" shapeId="0" xr:uid="{00000000-0006-0000-0300-00004B000000}">
      <text>
        <r>
          <rPr>
            <b/>
            <sz val="10"/>
            <color indexed="81"/>
            <rFont val="Tahoma"/>
          </rPr>
          <t>BJACVariable.IAHV.CBtube_FinThickness@8</t>
        </r>
      </text>
    </comment>
    <comment ref="K30" authorId="0" shapeId="0" xr:uid="{00000000-0006-0000-0300-00004C000000}">
      <text>
        <r>
          <rPr>
            <b/>
            <sz val="10"/>
            <color indexed="81"/>
            <rFont val="Tahoma"/>
          </rPr>
          <t>BJACVariable.IAHV.CBtube_FinThickness@9</t>
        </r>
      </text>
    </comment>
    <comment ref="B31" authorId="0" shapeId="0" xr:uid="{00000000-0006-0000-0300-00004D000000}">
      <text>
        <r>
          <rPr>
            <b/>
            <sz val="10"/>
            <color indexed="81"/>
            <rFont val="Tahoma"/>
          </rPr>
          <t>BJACVariable.IAHU.CBtube_StudThickness</t>
        </r>
      </text>
    </comment>
    <comment ref="C31" authorId="0" shapeId="0" xr:uid="{00000000-0006-0000-0300-00004E000000}">
      <text>
        <r>
          <rPr>
            <b/>
            <sz val="10"/>
            <color indexed="81"/>
            <rFont val="Tahoma"/>
          </rPr>
          <t>BJACVariable.IAHV.CBtube_StudThickness@1</t>
        </r>
      </text>
    </comment>
    <comment ref="D31" authorId="0" shapeId="0" xr:uid="{00000000-0006-0000-0300-00004F000000}">
      <text>
        <r>
          <rPr>
            <b/>
            <sz val="10"/>
            <color indexed="81"/>
            <rFont val="Tahoma"/>
          </rPr>
          <t>BJACVariable.IAHV.CBtube_StudThickness@2</t>
        </r>
      </text>
    </comment>
    <comment ref="E31" authorId="0" shapeId="0" xr:uid="{00000000-0006-0000-0300-000050000000}">
      <text>
        <r>
          <rPr>
            <b/>
            <sz val="10"/>
            <color indexed="81"/>
            <rFont val="Tahoma"/>
          </rPr>
          <t>BJACVariable.IAHV.CBtube_StudThickness@3</t>
        </r>
      </text>
    </comment>
    <comment ref="F31" authorId="0" shapeId="0" xr:uid="{00000000-0006-0000-0300-000051000000}">
      <text>
        <r>
          <rPr>
            <b/>
            <sz val="10"/>
            <color indexed="81"/>
            <rFont val="Tahoma"/>
          </rPr>
          <t>BJACVariable.IAHV.CBtube_StudThickness@4</t>
        </r>
      </text>
    </comment>
    <comment ref="G31" authorId="0" shapeId="0" xr:uid="{00000000-0006-0000-0300-000052000000}">
      <text>
        <r>
          <rPr>
            <b/>
            <sz val="10"/>
            <color indexed="81"/>
            <rFont val="Tahoma"/>
          </rPr>
          <t>BJACVariable.IAHV.CBtube_StudThickness@5</t>
        </r>
      </text>
    </comment>
    <comment ref="H31" authorId="0" shapeId="0" xr:uid="{00000000-0006-0000-0300-000053000000}">
      <text>
        <r>
          <rPr>
            <b/>
            <sz val="10"/>
            <color indexed="81"/>
            <rFont val="Tahoma"/>
          </rPr>
          <t>BJACVariable.IAHV.CBtube_StudThickness@6</t>
        </r>
      </text>
    </comment>
    <comment ref="I31" authorId="0" shapeId="0" xr:uid="{00000000-0006-0000-0300-000054000000}">
      <text>
        <r>
          <rPr>
            <b/>
            <sz val="10"/>
            <color indexed="81"/>
            <rFont val="Tahoma"/>
          </rPr>
          <t>BJACVariable.IAHV.CBtube_StudThickness@7</t>
        </r>
      </text>
    </comment>
    <comment ref="J31" authorId="0" shapeId="0" xr:uid="{00000000-0006-0000-0300-000055000000}">
      <text>
        <r>
          <rPr>
            <b/>
            <sz val="10"/>
            <color indexed="81"/>
            <rFont val="Tahoma"/>
          </rPr>
          <t>BJACVariable.IAHV.CBtube_StudThickness@8</t>
        </r>
      </text>
    </comment>
    <comment ref="K31" authorId="0" shapeId="0" xr:uid="{00000000-0006-0000-0300-000056000000}">
      <text>
        <r>
          <rPr>
            <b/>
            <sz val="10"/>
            <color indexed="81"/>
            <rFont val="Tahoma"/>
          </rPr>
          <t>BJACVariable.IAHV.CBtube_StudThickness@9</t>
        </r>
      </text>
    </comment>
    <comment ref="B32" authorId="0" shapeId="0" xr:uid="{00000000-0006-0000-0300-000057000000}">
      <text>
        <r>
          <rPr>
            <b/>
            <sz val="10"/>
            <color indexed="81"/>
            <rFont val="Tahoma"/>
          </rPr>
          <t>BJACVariable.IAHU.CBtube_StudThickness</t>
        </r>
      </text>
    </comment>
    <comment ref="B33" authorId="0" shapeId="0" xr:uid="{00000000-0006-0000-0300-000058000000}">
      <text>
        <r>
          <rPr>
            <b/>
            <sz val="10"/>
            <color indexed="81"/>
            <rFont val="Tahoma"/>
          </rPr>
          <t>BJACVariable.IAHU.CBtube_StudWidth</t>
        </r>
      </text>
    </comment>
    <comment ref="C33" authorId="0" shapeId="0" xr:uid="{00000000-0006-0000-0300-000059000000}">
      <text>
        <r>
          <rPr>
            <b/>
            <sz val="10"/>
            <color indexed="81"/>
            <rFont val="Tahoma"/>
          </rPr>
          <t>BJACVariable.IAHV.CBtube_StudWidth@1</t>
        </r>
      </text>
    </comment>
    <comment ref="D33" authorId="0" shapeId="0" xr:uid="{00000000-0006-0000-0300-00005A000000}">
      <text>
        <r>
          <rPr>
            <b/>
            <sz val="10"/>
            <color indexed="81"/>
            <rFont val="Tahoma"/>
          </rPr>
          <t>BJACVariable.IAHV.CBtube_StudWidth@2</t>
        </r>
      </text>
    </comment>
    <comment ref="E33" authorId="0" shapeId="0" xr:uid="{00000000-0006-0000-0300-00005B000000}">
      <text>
        <r>
          <rPr>
            <b/>
            <sz val="10"/>
            <color indexed="81"/>
            <rFont val="Tahoma"/>
          </rPr>
          <t>BJACVariable.IAHV.CBtube_StudWidth@3</t>
        </r>
      </text>
    </comment>
    <comment ref="F33" authorId="0" shapeId="0" xr:uid="{00000000-0006-0000-0300-00005C000000}">
      <text>
        <r>
          <rPr>
            <b/>
            <sz val="10"/>
            <color indexed="81"/>
            <rFont val="Tahoma"/>
          </rPr>
          <t>BJACVariable.IAHV.CBtube_StudWidth@4</t>
        </r>
      </text>
    </comment>
    <comment ref="G33" authorId="0" shapeId="0" xr:uid="{00000000-0006-0000-0300-00005D000000}">
      <text>
        <r>
          <rPr>
            <b/>
            <sz val="10"/>
            <color indexed="81"/>
            <rFont val="Tahoma"/>
          </rPr>
          <t>BJACVariable.IAHV.CBtube_StudWidth@5</t>
        </r>
      </text>
    </comment>
    <comment ref="H33" authorId="0" shapeId="0" xr:uid="{00000000-0006-0000-0300-00005E000000}">
      <text>
        <r>
          <rPr>
            <b/>
            <sz val="10"/>
            <color indexed="81"/>
            <rFont val="Tahoma"/>
          </rPr>
          <t>BJACVariable.IAHV.CBtube_StudWidth@6</t>
        </r>
      </text>
    </comment>
    <comment ref="I33" authorId="0" shapeId="0" xr:uid="{00000000-0006-0000-0300-00005F000000}">
      <text>
        <r>
          <rPr>
            <b/>
            <sz val="10"/>
            <color indexed="81"/>
            <rFont val="Tahoma"/>
          </rPr>
          <t>BJACVariable.IAHV.CBtube_StudWidth@7</t>
        </r>
      </text>
    </comment>
    <comment ref="J33" authorId="0" shapeId="0" xr:uid="{00000000-0006-0000-0300-000060000000}">
      <text>
        <r>
          <rPr>
            <b/>
            <sz val="10"/>
            <color indexed="81"/>
            <rFont val="Tahoma"/>
          </rPr>
          <t>BJACVariable.IAHV.CBtube_StudWidth@8</t>
        </r>
      </text>
    </comment>
    <comment ref="K33" authorId="0" shapeId="0" xr:uid="{00000000-0006-0000-0300-000061000000}">
      <text>
        <r>
          <rPr>
            <b/>
            <sz val="10"/>
            <color indexed="81"/>
            <rFont val="Tahoma"/>
          </rPr>
          <t>BJACVariable.IAHV.CBtube_StudWidth@9</t>
        </r>
      </text>
    </comment>
    <comment ref="B34" authorId="0" shapeId="0" xr:uid="{00000000-0006-0000-0300-000062000000}">
      <text>
        <r>
          <rPr>
            <b/>
            <sz val="10"/>
            <color indexed="81"/>
            <rFont val="Tahoma"/>
          </rPr>
          <t>BJACVariable.IAHU.CBtube_StudWidth</t>
        </r>
      </text>
    </comment>
    <comment ref="B35" authorId="0" shapeId="0" xr:uid="{00000000-0006-0000-0300-000063000000}">
      <text>
        <r>
          <rPr>
            <b/>
            <sz val="10"/>
            <color indexed="81"/>
            <rFont val="Tahoma"/>
          </rPr>
          <t>BJACVariable.IAHU.CBtube_FinFrequency</t>
        </r>
      </text>
    </comment>
    <comment ref="C35" authorId="0" shapeId="0" xr:uid="{00000000-0006-0000-0300-000064000000}">
      <text>
        <r>
          <rPr>
            <b/>
            <sz val="10"/>
            <color indexed="81"/>
            <rFont val="Tahoma"/>
          </rPr>
          <t>BJACVariable.IAHV.CBtube_FinFrequency@1</t>
        </r>
      </text>
    </comment>
    <comment ref="D35" authorId="0" shapeId="0" xr:uid="{00000000-0006-0000-0300-000065000000}">
      <text>
        <r>
          <rPr>
            <b/>
            <sz val="10"/>
            <color indexed="81"/>
            <rFont val="Tahoma"/>
          </rPr>
          <t>BJACVariable.IAHV.CBtube_FinFrequency@2</t>
        </r>
      </text>
    </comment>
    <comment ref="E35" authorId="0" shapeId="0" xr:uid="{00000000-0006-0000-0300-000066000000}">
      <text>
        <r>
          <rPr>
            <b/>
            <sz val="10"/>
            <color indexed="81"/>
            <rFont val="Tahoma"/>
          </rPr>
          <t>BJACVariable.IAHV.CBtube_FinFrequency@3</t>
        </r>
      </text>
    </comment>
    <comment ref="F35" authorId="0" shapeId="0" xr:uid="{00000000-0006-0000-0300-000067000000}">
      <text>
        <r>
          <rPr>
            <b/>
            <sz val="10"/>
            <color indexed="81"/>
            <rFont val="Tahoma"/>
          </rPr>
          <t>BJACVariable.IAHV.CBtube_FinFrequency@4</t>
        </r>
      </text>
    </comment>
    <comment ref="G35" authorId="0" shapeId="0" xr:uid="{00000000-0006-0000-0300-000068000000}">
      <text>
        <r>
          <rPr>
            <b/>
            <sz val="10"/>
            <color indexed="81"/>
            <rFont val="Tahoma"/>
          </rPr>
          <t>BJACVariable.IAHV.CBtube_FinFrequency@5</t>
        </r>
      </text>
    </comment>
    <comment ref="H35" authorId="0" shapeId="0" xr:uid="{00000000-0006-0000-0300-000069000000}">
      <text>
        <r>
          <rPr>
            <b/>
            <sz val="10"/>
            <color indexed="81"/>
            <rFont val="Tahoma"/>
          </rPr>
          <t>BJACVariable.IAHV.CBtube_FinFrequency@6</t>
        </r>
      </text>
    </comment>
    <comment ref="I35" authorId="0" shapeId="0" xr:uid="{00000000-0006-0000-0300-00006A000000}">
      <text>
        <r>
          <rPr>
            <b/>
            <sz val="10"/>
            <color indexed="81"/>
            <rFont val="Tahoma"/>
          </rPr>
          <t>BJACVariable.IAHV.CBtube_FinFrequency@7</t>
        </r>
      </text>
    </comment>
    <comment ref="J35" authorId="0" shapeId="0" xr:uid="{00000000-0006-0000-0300-00006B000000}">
      <text>
        <r>
          <rPr>
            <b/>
            <sz val="10"/>
            <color indexed="81"/>
            <rFont val="Tahoma"/>
          </rPr>
          <t>BJACVariable.IAHV.CBtube_FinFrequency@8</t>
        </r>
      </text>
    </comment>
    <comment ref="K35" authorId="0" shapeId="0" xr:uid="{00000000-0006-0000-0300-00006C000000}">
      <text>
        <r>
          <rPr>
            <b/>
            <sz val="10"/>
            <color indexed="81"/>
            <rFont val="Tahoma"/>
          </rPr>
          <t>BJACVariable.IAHV.CBtube_FinFrequency@9</t>
        </r>
      </text>
    </comment>
    <comment ref="B36" authorId="0" shapeId="0" xr:uid="{00000000-0006-0000-0300-00006D000000}">
      <text>
        <r>
          <rPr>
            <b/>
            <sz val="10"/>
            <color indexed="81"/>
            <rFont val="Tahoma"/>
          </rPr>
          <t>BJACVariable.IAHU.CBtube_StudRowsOntube</t>
        </r>
      </text>
    </comment>
    <comment ref="C36" authorId="0" shapeId="0" xr:uid="{00000000-0006-0000-0300-00006E000000}">
      <text>
        <r>
          <rPr>
            <b/>
            <sz val="10"/>
            <color indexed="81"/>
            <rFont val="Tahoma"/>
          </rPr>
          <t>BJACVariable.IAHV.CBtube_StudRowsOntube@1</t>
        </r>
      </text>
    </comment>
    <comment ref="D36" authorId="0" shapeId="0" xr:uid="{00000000-0006-0000-0300-00006F000000}">
      <text>
        <r>
          <rPr>
            <b/>
            <sz val="10"/>
            <color indexed="81"/>
            <rFont val="Tahoma"/>
          </rPr>
          <t>BJACVariable.IAHV.CBtube_StudRowsOntube@2</t>
        </r>
      </text>
    </comment>
    <comment ref="E36" authorId="0" shapeId="0" xr:uid="{00000000-0006-0000-0300-000070000000}">
      <text>
        <r>
          <rPr>
            <b/>
            <sz val="10"/>
            <color indexed="81"/>
            <rFont val="Tahoma"/>
          </rPr>
          <t>BJACVariable.IAHV.CBtube_StudRowsOntube@3</t>
        </r>
      </text>
    </comment>
    <comment ref="F36" authorId="0" shapeId="0" xr:uid="{00000000-0006-0000-0300-000071000000}">
      <text>
        <r>
          <rPr>
            <b/>
            <sz val="10"/>
            <color indexed="81"/>
            <rFont val="Tahoma"/>
          </rPr>
          <t>BJACVariable.IAHV.CBtube_StudRowsOntube@4</t>
        </r>
      </text>
    </comment>
    <comment ref="G36" authorId="0" shapeId="0" xr:uid="{00000000-0006-0000-0300-000072000000}">
      <text>
        <r>
          <rPr>
            <b/>
            <sz val="10"/>
            <color indexed="81"/>
            <rFont val="Tahoma"/>
          </rPr>
          <t>BJACVariable.IAHV.CBtube_StudRowsOntube@5</t>
        </r>
      </text>
    </comment>
    <comment ref="H36" authorId="0" shapeId="0" xr:uid="{00000000-0006-0000-0300-000073000000}">
      <text>
        <r>
          <rPr>
            <b/>
            <sz val="10"/>
            <color indexed="81"/>
            <rFont val="Tahoma"/>
          </rPr>
          <t>BJACVariable.IAHV.CBtube_StudRowsOntube@6</t>
        </r>
      </text>
    </comment>
    <comment ref="I36" authorId="0" shapeId="0" xr:uid="{00000000-0006-0000-0300-000074000000}">
      <text>
        <r>
          <rPr>
            <b/>
            <sz val="10"/>
            <color indexed="81"/>
            <rFont val="Tahoma"/>
          </rPr>
          <t>BJACVariable.IAHV.CBtube_StudRowsOntube@7</t>
        </r>
      </text>
    </comment>
    <comment ref="J36" authorId="0" shapeId="0" xr:uid="{00000000-0006-0000-0300-000075000000}">
      <text>
        <r>
          <rPr>
            <b/>
            <sz val="10"/>
            <color indexed="81"/>
            <rFont val="Tahoma"/>
          </rPr>
          <t>BJACVariable.IAHV.CBtube_StudRowsOntube@8</t>
        </r>
      </text>
    </comment>
    <comment ref="K36" authorId="0" shapeId="0" xr:uid="{00000000-0006-0000-0300-000076000000}">
      <text>
        <r>
          <rPr>
            <b/>
            <sz val="10"/>
            <color indexed="81"/>
            <rFont val="Tahoma"/>
          </rPr>
          <t>BJACVariable.IAHV.CBtube_StudRowsOntube@9</t>
        </r>
      </text>
    </comment>
    <comment ref="B37" authorId="0" shapeId="0" xr:uid="{00000000-0006-0000-0300-000077000000}">
      <text>
        <r>
          <rPr>
            <b/>
            <sz val="10"/>
            <color indexed="81"/>
            <rFont val="Tahoma"/>
          </rPr>
          <t>BJACVariable.IAHU.CBtube_StudRowsOntube</t>
        </r>
      </text>
    </comment>
    <comment ref="C39" authorId="0" shapeId="0" xr:uid="{00000000-0006-0000-0300-000078000000}">
      <text>
        <r>
          <rPr>
            <b/>
            <sz val="10"/>
            <color indexed="81"/>
            <rFont val="Tahoma"/>
          </rPr>
          <t>BJACVariable.ISXV.FBrow_NumTubes</t>
        </r>
      </text>
    </comment>
    <comment ref="C40" authorId="0" shapeId="0" xr:uid="{00000000-0006-0000-0300-000079000000}">
      <text>
        <r>
          <rPr>
            <b/>
            <sz val="10"/>
            <color indexed="81"/>
            <rFont val="Tahoma"/>
          </rPr>
          <t>BJACVariable.ISXV.FBroof_NumTubesInFirebox</t>
        </r>
      </text>
    </comment>
  </commentList>
</comments>
</file>

<file path=xl/sharedStrings.xml><?xml version="1.0" encoding="utf-8"?>
<sst xmlns="http://schemas.openxmlformats.org/spreadsheetml/2006/main" count="217" uniqueCount="181">
  <si>
    <t>PROCESS  DESIGN CONDITIONS</t>
  </si>
  <si>
    <t>INLET CONDITIONS</t>
  </si>
  <si>
    <t>OUTLET CONDITIONS</t>
  </si>
  <si>
    <t>REMARKS AND SPECIAL REQUIREMENTS</t>
  </si>
  <si>
    <t>C</t>
  </si>
  <si>
    <t>Operating case</t>
  </si>
  <si>
    <t>Heater section</t>
  </si>
  <si>
    <t>Service</t>
  </si>
  <si>
    <t>Heat absorption</t>
  </si>
  <si>
    <t>Fluid</t>
  </si>
  <si>
    <t>Flow rate</t>
  </si>
  <si>
    <t>Pressure drop, allowable (clean/fouled)</t>
  </si>
  <si>
    <t>Pressure drop, calculated (clean/fouled)</t>
  </si>
  <si>
    <t>Avg. Rad. Sect. Flux density, allow</t>
  </si>
  <si>
    <t>Avg. Rad. Sect. Flux density, calc</t>
  </si>
  <si>
    <t>Max. Rad sect. Flux density</t>
  </si>
  <si>
    <t>Velocity limitation</t>
  </si>
  <si>
    <t>Max.allow./calc. Inside fluid temp (firebox)</t>
  </si>
  <si>
    <t>Coking allowance</t>
  </si>
  <si>
    <t>Temperature</t>
  </si>
  <si>
    <t>Pressure</t>
  </si>
  <si>
    <t>Vapor mass fraction</t>
  </si>
  <si>
    <t>Liquid flow</t>
  </si>
  <si>
    <t>Vapor flow</t>
  </si>
  <si>
    <t>Liquid density</t>
  </si>
  <si>
    <t>Vapor density</t>
  </si>
  <si>
    <t>Viscosity (liquid/vapor)</t>
  </si>
  <si>
    <t>Specific heat (liquid/vapor)</t>
  </si>
  <si>
    <t>Thermal conductivity (liquid/vapor)</t>
  </si>
  <si>
    <t>Specific heat  (liquid/vapor)</t>
  </si>
  <si>
    <t xml:space="preserve"> </t>
  </si>
  <si>
    <t>Unit</t>
  </si>
  <si>
    <t>Manufacturer</t>
  </si>
  <si>
    <t>Type of heater</t>
  </si>
  <si>
    <t>Total heater absorbed duty</t>
  </si>
  <si>
    <t xml:space="preserve">PURCHASER/OWNER </t>
  </si>
  <si>
    <t>SERVICE</t>
  </si>
  <si>
    <t>Process fluid mass velocity (firebox/bank1)</t>
  </si>
  <si>
    <t>Conv. Sect. Flux density (bare tubes) bank1/bank2</t>
  </si>
  <si>
    <t>COMBUSTION DESIGN CONDITIONS</t>
  </si>
  <si>
    <t>Type of Fuel</t>
  </si>
  <si>
    <t>Excess air, %</t>
  </si>
  <si>
    <t>Calculated heat release (LHV)</t>
  </si>
  <si>
    <t>Calculated fuel efficiency (LHV)</t>
  </si>
  <si>
    <t>Radiation loss, %  (LHV)</t>
  </si>
  <si>
    <t xml:space="preserve">                                           Air preheater</t>
  </si>
  <si>
    <t>Flue gas temperature leaving: Radiant section</t>
  </si>
  <si>
    <t xml:space="preserve">                                           Conv section</t>
  </si>
  <si>
    <t>Draft at arch</t>
  </si>
  <si>
    <t>Draft at burners</t>
  </si>
  <si>
    <t>Ambient air temperature (efficiency calculation)</t>
  </si>
  <si>
    <t>Altitude</t>
  </si>
  <si>
    <t>Volumetric heat release</t>
  </si>
  <si>
    <t>FUEL CHARACTERISTICS</t>
  </si>
  <si>
    <t>Fuel type</t>
  </si>
  <si>
    <t>Fuel flowrate</t>
  </si>
  <si>
    <t>Fuel lower calorific value (LHV)</t>
  </si>
  <si>
    <t>Pressure @ burner</t>
  </si>
  <si>
    <t>Temperature @ burner</t>
  </si>
  <si>
    <t>Molecular weight</t>
  </si>
  <si>
    <t>Composition (mass fraction)</t>
  </si>
  <si>
    <t xml:space="preserve">  C</t>
  </si>
  <si>
    <t xml:space="preserve">  H</t>
  </si>
  <si>
    <t xml:space="preserve">  O</t>
  </si>
  <si>
    <t xml:space="preserve">  N</t>
  </si>
  <si>
    <t xml:space="preserve">  S</t>
  </si>
  <si>
    <t xml:space="preserve">  Ash</t>
  </si>
  <si>
    <t>BURNER DATA</t>
  </si>
  <si>
    <t>Ambient air temperature (stack design)</t>
  </si>
  <si>
    <t>Size/Model</t>
  </si>
  <si>
    <t>Number</t>
  </si>
  <si>
    <t>Type</t>
  </si>
  <si>
    <t>Heat release per burner</t>
  </si>
  <si>
    <t>Location</t>
  </si>
  <si>
    <t>MECHANICAL DESIGN CONDITIONS</t>
  </si>
  <si>
    <t>Plot limitations</t>
  </si>
  <si>
    <t>Stack limitations</t>
  </si>
  <si>
    <t>Tube limitations</t>
  </si>
  <si>
    <t>Noise limitations</t>
  </si>
  <si>
    <t xml:space="preserve">Structural design data,            </t>
  </si>
  <si>
    <t>Wind occurrence</t>
  </si>
  <si>
    <t>Seismic zone</t>
  </si>
  <si>
    <t>Relative humidity, %</t>
  </si>
  <si>
    <t>Radiant</t>
  </si>
  <si>
    <t>COIL DESIGN:</t>
  </si>
  <si>
    <t>Design basis, tube wall thickness (code or specification)</t>
  </si>
  <si>
    <t>Stress-to-rupture basis,</t>
  </si>
  <si>
    <t>Design pressure, elastic,</t>
  </si>
  <si>
    <t>Design fluid temperature,</t>
  </si>
  <si>
    <t>Corrosion allowance, tubes / fittings,</t>
  </si>
  <si>
    <t>Hydrostatic test pressure,</t>
  </si>
  <si>
    <t>Postweld heat treatment (Yes or No)</t>
  </si>
  <si>
    <t>Percent of welds fully radiographed</t>
  </si>
  <si>
    <t>Design tube metal temperature,</t>
  </si>
  <si>
    <t>Inside film coefficient,</t>
  </si>
  <si>
    <t>Shock (bank1)</t>
  </si>
  <si>
    <t xml:space="preserve"> Convection (bank2)</t>
  </si>
  <si>
    <t>COIL ARRANGEMENT</t>
  </si>
  <si>
    <t>Tube material (ASTM specification and grade)</t>
  </si>
  <si>
    <t>Tube outside diameter,</t>
  </si>
  <si>
    <t>mm</t>
  </si>
  <si>
    <t>Tube wall thickness, (Avg),</t>
  </si>
  <si>
    <t>Number of tubes</t>
  </si>
  <si>
    <t>Overall tube length,</t>
  </si>
  <si>
    <t>Effective tube length,</t>
  </si>
  <si>
    <t>Tube layout (in line or staggered)</t>
  </si>
  <si>
    <t>Spacing tube center to furnace wall (minimum),</t>
  </si>
  <si>
    <t>Corbels (Yes or No)</t>
  </si>
  <si>
    <t>Corbel width (distance from wall)</t>
  </si>
  <si>
    <t>Tube orientation: vertical or horizontal</t>
  </si>
  <si>
    <t>Bare tubes: Number</t>
  </si>
  <si>
    <t xml:space="preserve">                  Total exposed area</t>
  </si>
  <si>
    <t>Extended surface tubes: Number</t>
  </si>
  <si>
    <t>DESCRIPTION OF EXTENDED SURFACE:</t>
  </si>
  <si>
    <t xml:space="preserve">Type : </t>
  </si>
  <si>
    <t>Material</t>
  </si>
  <si>
    <t>Maximum tip temperature (calculated),</t>
  </si>
  <si>
    <t>Extension ratio (total area / bare area)</t>
  </si>
  <si>
    <t>PLUG TYPE HEADERS:</t>
  </si>
  <si>
    <t>Nominal rating</t>
  </si>
  <si>
    <t>Location (one or both ends)</t>
  </si>
  <si>
    <t>Welded or rolled joint</t>
  </si>
  <si>
    <t>Notes:</t>
  </si>
  <si>
    <t>Minimum / maximum ambient air temperature</t>
  </si>
  <si>
    <t>Number of rows of tubes (convection section)</t>
  </si>
  <si>
    <t>Firebox type</t>
  </si>
  <si>
    <t>Tube Lines cylinder</t>
  </si>
  <si>
    <t>Tube layout</t>
  </si>
  <si>
    <t>Tube Lines box wall</t>
  </si>
  <si>
    <t>Tube lines box 1 centre</t>
  </si>
  <si>
    <t>Tube lines box 2 centre</t>
  </si>
  <si>
    <t>Tube lines in multicell firebox</t>
  </si>
  <si>
    <t>Tube lines multicell</t>
  </si>
  <si>
    <t>Tube lines/firebox</t>
  </si>
  <si>
    <t>Paths/Tubeline</t>
  </si>
  <si>
    <t>Total Paths(passes)/firebox</t>
  </si>
  <si>
    <t>Number of parallel flow streams</t>
  </si>
  <si>
    <t>FireBox passes</t>
  </si>
  <si>
    <t>Bank2</t>
  </si>
  <si>
    <t>Bank1</t>
  </si>
  <si>
    <t>Convection bank parrallel paths</t>
  </si>
  <si>
    <t>Row arrangement</t>
  </si>
  <si>
    <t>BJACVariable.IAHI.Cbank_RowsInSeries@9</t>
  </si>
  <si>
    <t>series</t>
  </si>
  <si>
    <t>Parallel paths per row</t>
  </si>
  <si>
    <t>Number of rows</t>
  </si>
  <si>
    <t>Total parallel paths</t>
  </si>
  <si>
    <t>m2</t>
  </si>
  <si>
    <t>Bare tube area</t>
  </si>
  <si>
    <t>Extended tube area</t>
  </si>
  <si>
    <t xml:space="preserve">Dimensions height </t>
  </si>
  <si>
    <t xml:space="preserve">                  thickness</t>
  </si>
  <si>
    <t>Maximum tube metal temperature, (calculated)</t>
  </si>
  <si>
    <t>frequency</t>
  </si>
  <si>
    <t>#/m</t>
  </si>
  <si>
    <t>Max fin tip temperature</t>
  </si>
  <si>
    <t>Area Ratio</t>
  </si>
  <si>
    <t>Tube spacing (centre-centre same row)</t>
  </si>
  <si>
    <t>Fin Height</t>
  </si>
  <si>
    <t>Stud Height</t>
  </si>
  <si>
    <t>Fin thickness</t>
  </si>
  <si>
    <t>Stud thickness</t>
  </si>
  <si>
    <t>Stud width</t>
  </si>
  <si>
    <t xml:space="preserve">                 Stud width</t>
  </si>
  <si>
    <t>Fin/Stud height</t>
  </si>
  <si>
    <t>Fin Frequency</t>
  </si>
  <si>
    <t>Stud Frequency</t>
  </si>
  <si>
    <t>Fin/Stud frequency</t>
  </si>
  <si>
    <t xml:space="preserve">Maximum calculated film temperature </t>
  </si>
  <si>
    <t>Fin/Stud thickness</t>
  </si>
  <si>
    <t>Fouling factor  (stream1 tube/gas-side)</t>
  </si>
  <si>
    <t>Rad + Conv</t>
  </si>
  <si>
    <t>Main Tubes</t>
  </si>
  <si>
    <t>Roof Tubes</t>
  </si>
  <si>
    <t>Total Firebox Tubes/firebox</t>
  </si>
  <si>
    <t>Flue gas quantity (wet/dry)</t>
  </si>
  <si>
    <t>Flue gas mass vel. (bank1/bank2)</t>
  </si>
  <si>
    <t>cylinder</t>
  </si>
  <si>
    <t>vertical tube</t>
  </si>
  <si>
    <t>Number of tubes per path per row (convection section)</t>
  </si>
  <si>
    <t>Fired Heater Data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</si>
</sst>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_)"/>
  </numFmts>
  <fonts count="19" x14ac:knownFonts="1">
    <font>
      <sz val="10"/>
      <name val="Arial"/>
    </font>
    <font>
      <sz val="10"/>
      <name val="Arial"/>
    </font>
    <font>
      <b/>
      <sz val="10"/>
      <color indexed="81"/>
      <name val="Tahoma"/>
    </font>
    <font>
      <sz val="8"/>
      <name val="Arial"/>
    </font>
    <font>
      <b/>
      <sz val="8"/>
      <name val="Arial"/>
      <family val="2"/>
    </font>
    <font>
      <b/>
      <sz val="14"/>
      <name val="Arial"/>
      <family val="2"/>
    </font>
    <font>
      <sz val="12"/>
      <name val="Arial"/>
    </font>
    <font>
      <b/>
      <sz val="12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name val="Helv"/>
    </font>
    <font>
      <sz val="10"/>
      <name val="Helv"/>
    </font>
    <font>
      <b/>
      <sz val="12"/>
      <name val="Helv"/>
    </font>
    <font>
      <b/>
      <sz val="14"/>
      <name val="Helv"/>
    </font>
    <font>
      <sz val="12"/>
      <color indexed="56"/>
      <name val="Helv"/>
    </font>
    <font>
      <b/>
      <sz val="12"/>
      <name val="Arial"/>
      <family val="2"/>
    </font>
    <font>
      <sz val="10"/>
      <color indexed="18"/>
      <name val="Arial"/>
    </font>
    <font>
      <sz val="8"/>
      <color indexed="18"/>
      <name val="Arial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0" borderId="1" xfId="0" applyBorder="1"/>
    <xf numFmtId="0" fontId="0" fillId="0" borderId="2" xfId="0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6" fillId="0" borderId="8" xfId="0" applyFont="1" applyBorder="1"/>
    <xf numFmtId="0" fontId="6" fillId="0" borderId="7" xfId="0" applyFont="1" applyBorder="1"/>
    <xf numFmtId="0" fontId="0" fillId="0" borderId="4" xfId="0" applyBorder="1"/>
    <xf numFmtId="0" fontId="1" fillId="0" borderId="10" xfId="0" applyFont="1" applyBorder="1"/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1" fillId="0" borderId="0" xfId="0" applyFont="1" applyBorder="1"/>
    <xf numFmtId="0" fontId="3" fillId="0" borderId="0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8" fillId="0" borderId="4" xfId="0" quotePrefix="1" applyFont="1" applyBorder="1"/>
    <xf numFmtId="0" fontId="8" fillId="0" borderId="4" xfId="0" quotePrefix="1" applyFont="1" applyFill="1" applyBorder="1"/>
    <xf numFmtId="0" fontId="8" fillId="0" borderId="4" xfId="0" applyFont="1" applyFill="1" applyBorder="1"/>
    <xf numFmtId="0" fontId="1" fillId="0" borderId="1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6" fillId="0" borderId="12" xfId="0" applyFont="1" applyBorder="1"/>
    <xf numFmtId="0" fontId="9" fillId="0" borderId="0" xfId="0" applyFont="1" applyBorder="1" applyAlignment="1">
      <alignment horizontal="left"/>
    </xf>
    <xf numFmtId="0" fontId="3" fillId="0" borderId="0" xfId="0" applyFont="1" applyFill="1"/>
    <xf numFmtId="0" fontId="0" fillId="0" borderId="0" xfId="0" applyFill="1" applyBorder="1" applyProtection="1"/>
    <xf numFmtId="0" fontId="11" fillId="0" borderId="0" xfId="0" applyFont="1" applyFill="1" applyBorder="1" applyAlignment="1" applyProtection="1"/>
    <xf numFmtId="0" fontId="0" fillId="0" borderId="14" xfId="0" applyBorder="1" applyProtection="1"/>
    <xf numFmtId="0" fontId="0" fillId="0" borderId="15" xfId="0" applyBorder="1" applyProtection="1"/>
    <xf numFmtId="164" fontId="0" fillId="0" borderId="16" xfId="0" applyNumberFormat="1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12" fillId="0" borderId="7" xfId="0" applyFont="1" applyBorder="1" applyProtection="1"/>
    <xf numFmtId="0" fontId="13" fillId="0" borderId="7" xfId="0" applyFont="1" applyBorder="1" applyProtection="1"/>
    <xf numFmtId="0" fontId="0" fillId="0" borderId="7" xfId="0" applyBorder="1" applyProtection="1"/>
    <xf numFmtId="0" fontId="0" fillId="0" borderId="11" xfId="0" applyBorder="1" applyProtection="1"/>
    <xf numFmtId="164" fontId="0" fillId="0" borderId="17" xfId="0" applyNumberFormat="1" applyBorder="1" applyAlignment="1" applyProtection="1">
      <alignment horizontal="left"/>
    </xf>
    <xf numFmtId="0" fontId="15" fillId="0" borderId="7" xfId="0" applyFont="1" applyBorder="1" applyProtection="1"/>
    <xf numFmtId="0" fontId="10" fillId="0" borderId="2" xfId="0" applyFont="1" applyFill="1" applyBorder="1" applyAlignment="1" applyProtection="1">
      <alignment horizontal="center"/>
      <protection locked="0"/>
    </xf>
    <xf numFmtId="0" fontId="0" fillId="0" borderId="10" xfId="0" applyBorder="1"/>
    <xf numFmtId="0" fontId="0" fillId="0" borderId="18" xfId="0" applyBorder="1"/>
    <xf numFmtId="164" fontId="0" fillId="0" borderId="0" xfId="0" applyNumberFormat="1" applyBorder="1" applyAlignment="1" applyProtection="1">
      <alignment horizontal="left"/>
    </xf>
    <xf numFmtId="0" fontId="3" fillId="0" borderId="19" xfId="0" applyFont="1" applyFill="1" applyBorder="1"/>
    <xf numFmtId="0" fontId="3" fillId="0" borderId="9" xfId="0" applyFont="1" applyFill="1" applyBorder="1"/>
    <xf numFmtId="0" fontId="3" fillId="0" borderId="2" xfId="0" applyFont="1" applyFill="1" applyBorder="1"/>
    <xf numFmtId="0" fontId="3" fillId="0" borderId="18" xfId="0" applyFont="1" applyFill="1" applyBorder="1"/>
    <xf numFmtId="0" fontId="7" fillId="0" borderId="7" xfId="0" applyFont="1" applyFill="1" applyBorder="1"/>
    <xf numFmtId="0" fontId="6" fillId="0" borderId="8" xfId="0" applyFont="1" applyFill="1" applyBorder="1"/>
    <xf numFmtId="0" fontId="0" fillId="0" borderId="12" xfId="0" applyBorder="1" applyProtection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19" xfId="0" applyBorder="1"/>
    <xf numFmtId="164" fontId="0" fillId="0" borderId="2" xfId="0" applyNumberFormat="1" applyFill="1" applyBorder="1" applyAlignment="1" applyProtection="1">
      <alignment horizontal="center"/>
      <protection locked="0"/>
    </xf>
    <xf numFmtId="164" fontId="0" fillId="0" borderId="11" xfId="0" applyNumberFormat="1" applyBorder="1" applyAlignment="1" applyProtection="1">
      <alignment horizontal="left"/>
    </xf>
    <xf numFmtId="0" fontId="3" fillId="0" borderId="10" xfId="0" applyFont="1" applyBorder="1"/>
    <xf numFmtId="164" fontId="0" fillId="0" borderId="20" xfId="0" applyNumberFormat="1" applyBorder="1" applyAlignment="1" applyProtection="1">
      <alignment horizontal="left"/>
    </xf>
    <xf numFmtId="164" fontId="0" fillId="0" borderId="21" xfId="0" applyNumberFormat="1" applyBorder="1" applyAlignment="1" applyProtection="1">
      <alignment horizontal="left"/>
    </xf>
    <xf numFmtId="164" fontId="0" fillId="0" borderId="21" xfId="0" applyNumberFormat="1" applyFill="1" applyBorder="1" applyAlignment="1" applyProtection="1">
      <alignment horizontal="left"/>
    </xf>
    <xf numFmtId="164" fontId="10" fillId="0" borderId="21" xfId="0" applyNumberFormat="1" applyFont="1" applyBorder="1" applyAlignment="1" applyProtection="1">
      <alignment horizontal="left"/>
    </xf>
    <xf numFmtId="164" fontId="0" fillId="0" borderId="22" xfId="0" applyNumberFormat="1" applyBorder="1" applyAlignment="1" applyProtection="1">
      <alignment horizontal="left"/>
    </xf>
    <xf numFmtId="0" fontId="9" fillId="0" borderId="0" xfId="0" applyFont="1"/>
    <xf numFmtId="0" fontId="0" fillId="0" borderId="11" xfId="0" applyBorder="1" applyAlignment="1" applyProtection="1">
      <alignment horizontal="center"/>
    </xf>
    <xf numFmtId="0" fontId="9" fillId="0" borderId="13" xfId="0" applyFont="1" applyBorder="1"/>
    <xf numFmtId="0" fontId="0" fillId="0" borderId="11" xfId="0" applyBorder="1"/>
    <xf numFmtId="0" fontId="1" fillId="0" borderId="11" xfId="0" applyFont="1" applyBorder="1"/>
    <xf numFmtId="0" fontId="1" fillId="0" borderId="12" xfId="0" applyFont="1" applyBorder="1"/>
    <xf numFmtId="0" fontId="3" fillId="0" borderId="4" xfId="0" applyFont="1" applyBorder="1"/>
    <xf numFmtId="0" fontId="1" fillId="0" borderId="1" xfId="0" applyFont="1" applyBorder="1"/>
    <xf numFmtId="11" fontId="0" fillId="0" borderId="13" xfId="0" applyNumberFormat="1" applyBorder="1"/>
    <xf numFmtId="0" fontId="16" fillId="0" borderId="4" xfId="0" applyFont="1" applyBorder="1"/>
    <xf numFmtId="0" fontId="16" fillId="0" borderId="11" xfId="0" applyFont="1" applyBorder="1"/>
    <xf numFmtId="0" fontId="16" fillId="0" borderId="0" xfId="0" applyFont="1" applyBorder="1"/>
    <xf numFmtId="0" fontId="16" fillId="0" borderId="0" xfId="0" applyFont="1" applyBorder="1" applyAlignment="1"/>
    <xf numFmtId="0" fontId="16" fillId="0" borderId="4" xfId="0" applyFont="1" applyBorder="1" applyAlignment="1"/>
    <xf numFmtId="0" fontId="16" fillId="0" borderId="10" xfId="0" applyFont="1" applyBorder="1"/>
    <xf numFmtId="0" fontId="16" fillId="0" borderId="9" xfId="0" applyFont="1" applyBorder="1"/>
    <xf numFmtId="0" fontId="16" fillId="0" borderId="3" xfId="0" applyFont="1" applyBorder="1"/>
    <xf numFmtId="0" fontId="16" fillId="0" borderId="5" xfId="0" applyFont="1" applyBorder="1"/>
    <xf numFmtId="0" fontId="16" fillId="0" borderId="18" xfId="0" applyFont="1" applyBorder="1"/>
    <xf numFmtId="0" fontId="16" fillId="0" borderId="1" xfId="0" applyFont="1" applyBorder="1"/>
    <xf numFmtId="0" fontId="16" fillId="0" borderId="0" xfId="0" applyFont="1"/>
    <xf numFmtId="0" fontId="16" fillId="0" borderId="12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9" xfId="0" applyFont="1" applyBorder="1"/>
    <xf numFmtId="0" fontId="1" fillId="0" borderId="2" xfId="0" applyFont="1" applyBorder="1"/>
    <xf numFmtId="0" fontId="8" fillId="0" borderId="4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1" fillId="0" borderId="7" xfId="0" applyFont="1" applyBorder="1"/>
    <xf numFmtId="0" fontId="0" fillId="0" borderId="3" xfId="0" applyBorder="1" applyAlignment="1" applyProtection="1">
      <alignment horizontal="center"/>
    </xf>
    <xf numFmtId="0" fontId="14" fillId="0" borderId="12" xfId="0" applyFont="1" applyBorder="1" applyProtection="1"/>
    <xf numFmtId="164" fontId="16" fillId="0" borderId="1" xfId="0" applyNumberFormat="1" applyFont="1" applyBorder="1" applyAlignment="1" applyProtection="1">
      <alignment horizontal="left"/>
    </xf>
    <xf numFmtId="0" fontId="16" fillId="0" borderId="1" xfId="0" applyFont="1" applyBorder="1" applyProtection="1"/>
    <xf numFmtId="0" fontId="16" fillId="0" borderId="19" xfId="0" applyFont="1" applyBorder="1"/>
    <xf numFmtId="0" fontId="16" fillId="0" borderId="12" xfId="0" applyFont="1" applyBorder="1"/>
    <xf numFmtId="0" fontId="16" fillId="0" borderId="1" xfId="0" applyFont="1" applyFill="1" applyBorder="1" applyProtection="1"/>
    <xf numFmtId="0" fontId="16" fillId="0" borderId="1" xfId="0" applyFont="1" applyFill="1" applyBorder="1"/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Protection="1"/>
    <xf numFmtId="0" fontId="16" fillId="0" borderId="1" xfId="0" applyFont="1" applyFill="1" applyBorder="1" applyAlignment="1" applyProtection="1">
      <alignment horizontal="center"/>
    </xf>
    <xf numFmtId="0" fontId="16" fillId="0" borderId="4" xfId="0" applyFont="1" applyFill="1" applyBorder="1" applyAlignment="1" applyProtection="1">
      <alignment horizontal="center"/>
      <protection locked="0"/>
    </xf>
    <xf numFmtId="0" fontId="16" fillId="0" borderId="2" xfId="0" applyFont="1" applyBorder="1"/>
    <xf numFmtId="0" fontId="0" fillId="0" borderId="0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12" xfId="0" applyFill="1" applyBorder="1" applyAlignment="1" applyProtection="1">
      <protection locked="0"/>
    </xf>
    <xf numFmtId="164" fontId="16" fillId="0" borderId="20" xfId="0" applyNumberFormat="1" applyFont="1" applyBorder="1" applyAlignment="1" applyProtection="1">
      <alignment horizontal="left"/>
    </xf>
    <xf numFmtId="0" fontId="0" fillId="0" borderId="23" xfId="0" applyBorder="1" applyProtection="1"/>
    <xf numFmtId="0" fontId="16" fillId="0" borderId="23" xfId="0" applyFont="1" applyBorder="1" applyProtection="1"/>
    <xf numFmtId="0" fontId="16" fillId="0" borderId="2" xfId="0" applyFont="1" applyBorder="1" applyProtection="1"/>
    <xf numFmtId="0" fontId="0" fillId="0" borderId="20" xfId="0" applyBorder="1" applyProtection="1"/>
    <xf numFmtId="0" fontId="0" fillId="0" borderId="2" xfId="0" applyFill="1" applyBorder="1" applyProtection="1"/>
    <xf numFmtId="0" fontId="0" fillId="0" borderId="19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3" fillId="0" borderId="12" xfId="0" applyFont="1" applyBorder="1" applyProtection="1">
      <protection locked="0"/>
    </xf>
    <xf numFmtId="0" fontId="3" fillId="0" borderId="9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10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5" xfId="0" applyBorder="1" applyProtection="1">
      <protection locked="0"/>
    </xf>
    <xf numFmtId="0" fontId="1" fillId="0" borderId="18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0" xfId="0" applyBorder="1" applyProtection="1">
      <protection locked="0"/>
    </xf>
    <xf numFmtId="0" fontId="1" fillId="0" borderId="2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0" borderId="0" xfId="0" applyFont="1" applyBorder="1" applyProtection="1">
      <protection locked="0"/>
    </xf>
    <xf numFmtId="2" fontId="16" fillId="0" borderId="19" xfId="0" applyNumberFormat="1" applyFont="1" applyFill="1" applyBorder="1" applyAlignment="1" applyProtection="1">
      <alignment horizontal="center"/>
      <protection locked="0"/>
    </xf>
    <xf numFmtId="0" fontId="16" fillId="0" borderId="19" xfId="0" applyFont="1" applyFill="1" applyBorder="1"/>
    <xf numFmtId="0" fontId="0" fillId="0" borderId="0" xfId="0" applyFill="1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Fill="1" applyBorder="1" applyProtection="1"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0" fontId="0" fillId="0" borderId="2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16" fillId="0" borderId="1" xfId="0" applyFont="1" applyBorder="1" applyProtection="1">
      <protection locked="0"/>
    </xf>
    <xf numFmtId="0" fontId="16" fillId="0" borderId="4" xfId="0" applyFont="1" applyBorder="1" applyProtection="1">
      <protection locked="0"/>
    </xf>
    <xf numFmtId="0" fontId="0" fillId="0" borderId="4" xfId="0" applyFill="1" applyBorder="1"/>
    <xf numFmtId="0" fontId="16" fillId="0" borderId="3" xfId="0" applyFont="1" applyBorder="1" applyProtection="1">
      <protection locked="0"/>
    </xf>
    <xf numFmtId="0" fontId="16" fillId="0" borderId="9" xfId="0" applyFont="1" applyBorder="1" applyProtection="1">
      <protection locked="0"/>
    </xf>
    <xf numFmtId="0" fontId="16" fillId="0" borderId="10" xfId="0" applyFont="1" applyBorder="1" applyProtection="1">
      <protection locked="0"/>
    </xf>
    <xf numFmtId="0" fontId="17" fillId="0" borderId="10" xfId="0" applyFont="1" applyBorder="1"/>
    <xf numFmtId="0" fontId="16" fillId="0" borderId="5" xfId="0" applyFont="1" applyBorder="1" applyProtection="1">
      <protection locked="0"/>
    </xf>
    <xf numFmtId="0" fontId="16" fillId="0" borderId="18" xfId="0" applyFont="1" applyBorder="1" applyProtection="1">
      <protection locked="0"/>
    </xf>
    <xf numFmtId="0" fontId="16" fillId="0" borderId="0" xfId="0" applyFont="1" applyFill="1" applyBorder="1" applyAlignment="1" applyProtection="1">
      <alignment horizontal="right"/>
    </xf>
    <xf numFmtId="0" fontId="16" fillId="0" borderId="1" xfId="0" applyFont="1" applyFill="1" applyBorder="1" applyAlignment="1" applyProtection="1">
      <alignment horizontal="right"/>
    </xf>
    <xf numFmtId="0" fontId="1" fillId="0" borderId="9" xfId="0" applyFon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Border="1"/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8" fillId="0" borderId="4" xfId="0" applyFont="1" applyBorder="1" applyProtection="1">
      <protection locked="0"/>
    </xf>
    <xf numFmtId="0" fontId="8" fillId="0" borderId="0" xfId="0" applyFont="1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6" fillId="0" borderId="0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9" xfId="0" applyFont="1" applyBorder="1" applyAlignment="1" applyProtection="1">
      <alignment horizontal="left"/>
      <protection locked="0"/>
    </xf>
    <xf numFmtId="0" fontId="9" fillId="0" borderId="5" xfId="0" applyFont="1" applyBorder="1" applyAlignment="1" applyProtection="1">
      <alignment horizontal="left"/>
      <protection locked="0"/>
    </xf>
    <xf numFmtId="0" fontId="9" fillId="0" borderId="11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8" fillId="0" borderId="4" xfId="0" applyFont="1" applyBorder="1" applyAlignment="1"/>
    <xf numFmtId="0" fontId="8" fillId="0" borderId="0" xfId="0" applyFont="1" applyBorder="1" applyAlignment="1"/>
    <xf numFmtId="0" fontId="8" fillId="0" borderId="10" xfId="0" applyFont="1" applyBorder="1" applyProtection="1">
      <protection locked="0"/>
    </xf>
    <xf numFmtId="0" fontId="7" fillId="0" borderId="6" xfId="0" applyFont="1" applyBorder="1" applyAlignment="1"/>
    <xf numFmtId="0" fontId="7" fillId="0" borderId="7" xfId="0" applyFont="1" applyBorder="1" applyAlignment="1"/>
    <xf numFmtId="0" fontId="8" fillId="0" borderId="3" xfId="0" applyFont="1" applyBorder="1"/>
    <xf numFmtId="0" fontId="8" fillId="0" borderId="12" xfId="0" applyFont="1" applyBorder="1"/>
    <xf numFmtId="0" fontId="7" fillId="0" borderId="6" xfId="0" applyFont="1" applyBorder="1"/>
    <xf numFmtId="0" fontId="7" fillId="0" borderId="7" xfId="0" applyFont="1" applyBorder="1"/>
    <xf numFmtId="0" fontId="5" fillId="0" borderId="12" xfId="0" applyFont="1" applyBorder="1" applyAlignment="1">
      <alignment horizontal="center"/>
    </xf>
    <xf numFmtId="0" fontId="8" fillId="0" borderId="12" xfId="0" applyFont="1" applyBorder="1" applyAlignment="1">
      <alignment horizontal="left"/>
    </xf>
    <xf numFmtId="0" fontId="9" fillId="0" borderId="12" xfId="0" applyFont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/>
      <protection locked="0"/>
    </xf>
    <xf numFmtId="0" fontId="9" fillId="0" borderId="18" xfId="0" applyFont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0"/>
  <sheetViews>
    <sheetView tabSelected="1" zoomScale="75" workbookViewId="0">
      <selection activeCell="O36" sqref="O36"/>
    </sheetView>
  </sheetViews>
  <sheetFormatPr defaultRowHeight="12.75" x14ac:dyDescent="0.2"/>
  <cols>
    <col min="1" max="1" width="4.7109375" customWidth="1"/>
    <col min="2" max="2" width="7.140625" customWidth="1"/>
    <col min="3" max="3" width="40.85546875" customWidth="1"/>
    <col min="4" max="4" width="7.42578125" customWidth="1"/>
    <col min="5" max="14" width="8.7109375" customWidth="1"/>
    <col min="257" max="257" width="4.7109375" customWidth="1"/>
    <col min="258" max="258" width="7.5703125" customWidth="1"/>
    <col min="259" max="259" width="40.85546875" customWidth="1"/>
    <col min="260" max="260" width="7.42578125" customWidth="1"/>
    <col min="261" max="270" width="8.7109375" customWidth="1"/>
    <col min="513" max="513" width="4.7109375" customWidth="1"/>
    <col min="514" max="514" width="7.5703125" customWidth="1"/>
    <col min="515" max="515" width="40.85546875" customWidth="1"/>
    <col min="516" max="516" width="7.42578125" customWidth="1"/>
    <col min="517" max="526" width="8.7109375" customWidth="1"/>
    <col min="769" max="769" width="4.7109375" customWidth="1"/>
    <col min="770" max="770" width="7.5703125" customWidth="1"/>
    <col min="771" max="771" width="40.85546875" customWidth="1"/>
    <col min="772" max="772" width="7.42578125" customWidth="1"/>
    <col min="773" max="782" width="8.7109375" customWidth="1"/>
    <col min="1025" max="1025" width="4.7109375" customWidth="1"/>
    <col min="1026" max="1026" width="7.5703125" customWidth="1"/>
    <col min="1027" max="1027" width="40.85546875" customWidth="1"/>
    <col min="1028" max="1028" width="7.42578125" customWidth="1"/>
    <col min="1029" max="1038" width="8.7109375" customWidth="1"/>
    <col min="1281" max="1281" width="4.7109375" customWidth="1"/>
    <col min="1282" max="1282" width="7.5703125" customWidth="1"/>
    <col min="1283" max="1283" width="40.85546875" customWidth="1"/>
    <col min="1284" max="1284" width="7.42578125" customWidth="1"/>
    <col min="1285" max="1294" width="8.7109375" customWidth="1"/>
    <col min="1537" max="1537" width="4.7109375" customWidth="1"/>
    <col min="1538" max="1538" width="7.5703125" customWidth="1"/>
    <col min="1539" max="1539" width="40.85546875" customWidth="1"/>
    <col min="1540" max="1540" width="7.42578125" customWidth="1"/>
    <col min="1541" max="1550" width="8.7109375" customWidth="1"/>
    <col min="1793" max="1793" width="4.7109375" customWidth="1"/>
    <col min="1794" max="1794" width="7.5703125" customWidth="1"/>
    <col min="1795" max="1795" width="40.85546875" customWidth="1"/>
    <col min="1796" max="1796" width="7.42578125" customWidth="1"/>
    <col min="1797" max="1806" width="8.7109375" customWidth="1"/>
    <col min="2049" max="2049" width="4.7109375" customWidth="1"/>
    <col min="2050" max="2050" width="7.5703125" customWidth="1"/>
    <col min="2051" max="2051" width="40.85546875" customWidth="1"/>
    <col min="2052" max="2052" width="7.42578125" customWidth="1"/>
    <col min="2053" max="2062" width="8.7109375" customWidth="1"/>
    <col min="2305" max="2305" width="4.7109375" customWidth="1"/>
    <col min="2306" max="2306" width="7.5703125" customWidth="1"/>
    <col min="2307" max="2307" width="40.85546875" customWidth="1"/>
    <col min="2308" max="2308" width="7.42578125" customWidth="1"/>
    <col min="2309" max="2318" width="8.7109375" customWidth="1"/>
    <col min="2561" max="2561" width="4.7109375" customWidth="1"/>
    <col min="2562" max="2562" width="7.5703125" customWidth="1"/>
    <col min="2563" max="2563" width="40.85546875" customWidth="1"/>
    <col min="2564" max="2564" width="7.42578125" customWidth="1"/>
    <col min="2565" max="2574" width="8.7109375" customWidth="1"/>
    <col min="2817" max="2817" width="4.7109375" customWidth="1"/>
    <col min="2818" max="2818" width="7.5703125" customWidth="1"/>
    <col min="2819" max="2819" width="40.85546875" customWidth="1"/>
    <col min="2820" max="2820" width="7.42578125" customWidth="1"/>
    <col min="2821" max="2830" width="8.7109375" customWidth="1"/>
    <col min="3073" max="3073" width="4.7109375" customWidth="1"/>
    <col min="3074" max="3074" width="7.5703125" customWidth="1"/>
    <col min="3075" max="3075" width="40.85546875" customWidth="1"/>
    <col min="3076" max="3076" width="7.42578125" customWidth="1"/>
    <col min="3077" max="3086" width="8.7109375" customWidth="1"/>
    <col min="3329" max="3329" width="4.7109375" customWidth="1"/>
    <col min="3330" max="3330" width="7.5703125" customWidth="1"/>
    <col min="3331" max="3331" width="40.85546875" customWidth="1"/>
    <col min="3332" max="3332" width="7.42578125" customWidth="1"/>
    <col min="3333" max="3342" width="8.7109375" customWidth="1"/>
    <col min="3585" max="3585" width="4.7109375" customWidth="1"/>
    <col min="3586" max="3586" width="7.5703125" customWidth="1"/>
    <col min="3587" max="3587" width="40.85546875" customWidth="1"/>
    <col min="3588" max="3588" width="7.42578125" customWidth="1"/>
    <col min="3589" max="3598" width="8.7109375" customWidth="1"/>
    <col min="3841" max="3841" width="4.7109375" customWidth="1"/>
    <col min="3842" max="3842" width="7.5703125" customWidth="1"/>
    <col min="3843" max="3843" width="40.85546875" customWidth="1"/>
    <col min="3844" max="3844" width="7.42578125" customWidth="1"/>
    <col min="3845" max="3854" width="8.7109375" customWidth="1"/>
    <col min="4097" max="4097" width="4.7109375" customWidth="1"/>
    <col min="4098" max="4098" width="7.5703125" customWidth="1"/>
    <col min="4099" max="4099" width="40.85546875" customWidth="1"/>
    <col min="4100" max="4100" width="7.42578125" customWidth="1"/>
    <col min="4101" max="4110" width="8.7109375" customWidth="1"/>
    <col min="4353" max="4353" width="4.7109375" customWidth="1"/>
    <col min="4354" max="4354" width="7.5703125" customWidth="1"/>
    <col min="4355" max="4355" width="40.85546875" customWidth="1"/>
    <col min="4356" max="4356" width="7.42578125" customWidth="1"/>
    <col min="4357" max="4366" width="8.7109375" customWidth="1"/>
    <col min="4609" max="4609" width="4.7109375" customWidth="1"/>
    <col min="4610" max="4610" width="7.5703125" customWidth="1"/>
    <col min="4611" max="4611" width="40.85546875" customWidth="1"/>
    <col min="4612" max="4612" width="7.42578125" customWidth="1"/>
    <col min="4613" max="4622" width="8.7109375" customWidth="1"/>
    <col min="4865" max="4865" width="4.7109375" customWidth="1"/>
    <col min="4866" max="4866" width="7.5703125" customWidth="1"/>
    <col min="4867" max="4867" width="40.85546875" customWidth="1"/>
    <col min="4868" max="4868" width="7.42578125" customWidth="1"/>
    <col min="4869" max="4878" width="8.7109375" customWidth="1"/>
    <col min="5121" max="5121" width="4.7109375" customWidth="1"/>
    <col min="5122" max="5122" width="7.5703125" customWidth="1"/>
    <col min="5123" max="5123" width="40.85546875" customWidth="1"/>
    <col min="5124" max="5124" width="7.42578125" customWidth="1"/>
    <col min="5125" max="5134" width="8.7109375" customWidth="1"/>
    <col min="5377" max="5377" width="4.7109375" customWidth="1"/>
    <col min="5378" max="5378" width="7.5703125" customWidth="1"/>
    <col min="5379" max="5379" width="40.85546875" customWidth="1"/>
    <col min="5380" max="5380" width="7.42578125" customWidth="1"/>
    <col min="5381" max="5390" width="8.7109375" customWidth="1"/>
    <col min="5633" max="5633" width="4.7109375" customWidth="1"/>
    <col min="5634" max="5634" width="7.5703125" customWidth="1"/>
    <col min="5635" max="5635" width="40.85546875" customWidth="1"/>
    <col min="5636" max="5636" width="7.42578125" customWidth="1"/>
    <col min="5637" max="5646" width="8.7109375" customWidth="1"/>
    <col min="5889" max="5889" width="4.7109375" customWidth="1"/>
    <col min="5890" max="5890" width="7.5703125" customWidth="1"/>
    <col min="5891" max="5891" width="40.85546875" customWidth="1"/>
    <col min="5892" max="5892" width="7.42578125" customWidth="1"/>
    <col min="5893" max="5902" width="8.7109375" customWidth="1"/>
    <col min="6145" max="6145" width="4.7109375" customWidth="1"/>
    <col min="6146" max="6146" width="7.5703125" customWidth="1"/>
    <col min="6147" max="6147" width="40.85546875" customWidth="1"/>
    <col min="6148" max="6148" width="7.42578125" customWidth="1"/>
    <col min="6149" max="6158" width="8.7109375" customWidth="1"/>
    <col min="6401" max="6401" width="4.7109375" customWidth="1"/>
    <col min="6402" max="6402" width="7.5703125" customWidth="1"/>
    <col min="6403" max="6403" width="40.85546875" customWidth="1"/>
    <col min="6404" max="6404" width="7.42578125" customWidth="1"/>
    <col min="6405" max="6414" width="8.7109375" customWidth="1"/>
    <col min="6657" max="6657" width="4.7109375" customWidth="1"/>
    <col min="6658" max="6658" width="7.5703125" customWidth="1"/>
    <col min="6659" max="6659" width="40.85546875" customWidth="1"/>
    <col min="6660" max="6660" width="7.42578125" customWidth="1"/>
    <col min="6661" max="6670" width="8.7109375" customWidth="1"/>
    <col min="6913" max="6913" width="4.7109375" customWidth="1"/>
    <col min="6914" max="6914" width="7.5703125" customWidth="1"/>
    <col min="6915" max="6915" width="40.85546875" customWidth="1"/>
    <col min="6916" max="6916" width="7.42578125" customWidth="1"/>
    <col min="6917" max="6926" width="8.7109375" customWidth="1"/>
    <col min="7169" max="7169" width="4.7109375" customWidth="1"/>
    <col min="7170" max="7170" width="7.5703125" customWidth="1"/>
    <col min="7171" max="7171" width="40.85546875" customWidth="1"/>
    <col min="7172" max="7172" width="7.42578125" customWidth="1"/>
    <col min="7173" max="7182" width="8.7109375" customWidth="1"/>
    <col min="7425" max="7425" width="4.7109375" customWidth="1"/>
    <col min="7426" max="7426" width="7.5703125" customWidth="1"/>
    <col min="7427" max="7427" width="40.85546875" customWidth="1"/>
    <col min="7428" max="7428" width="7.42578125" customWidth="1"/>
    <col min="7429" max="7438" width="8.7109375" customWidth="1"/>
    <col min="7681" max="7681" width="4.7109375" customWidth="1"/>
    <col min="7682" max="7682" width="7.5703125" customWidth="1"/>
    <col min="7683" max="7683" width="40.85546875" customWidth="1"/>
    <col min="7684" max="7684" width="7.42578125" customWidth="1"/>
    <col min="7685" max="7694" width="8.7109375" customWidth="1"/>
    <col min="7937" max="7937" width="4.7109375" customWidth="1"/>
    <col min="7938" max="7938" width="7.5703125" customWidth="1"/>
    <col min="7939" max="7939" width="40.85546875" customWidth="1"/>
    <col min="7940" max="7940" width="7.42578125" customWidth="1"/>
    <col min="7941" max="7950" width="8.7109375" customWidth="1"/>
    <col min="8193" max="8193" width="4.7109375" customWidth="1"/>
    <col min="8194" max="8194" width="7.5703125" customWidth="1"/>
    <col min="8195" max="8195" width="40.85546875" customWidth="1"/>
    <col min="8196" max="8196" width="7.42578125" customWidth="1"/>
    <col min="8197" max="8206" width="8.7109375" customWidth="1"/>
    <col min="8449" max="8449" width="4.7109375" customWidth="1"/>
    <col min="8450" max="8450" width="7.5703125" customWidth="1"/>
    <col min="8451" max="8451" width="40.85546875" customWidth="1"/>
    <col min="8452" max="8452" width="7.42578125" customWidth="1"/>
    <col min="8453" max="8462" width="8.7109375" customWidth="1"/>
    <col min="8705" max="8705" width="4.7109375" customWidth="1"/>
    <col min="8706" max="8706" width="7.5703125" customWidth="1"/>
    <col min="8707" max="8707" width="40.85546875" customWidth="1"/>
    <col min="8708" max="8708" width="7.42578125" customWidth="1"/>
    <col min="8709" max="8718" width="8.7109375" customWidth="1"/>
    <col min="8961" max="8961" width="4.7109375" customWidth="1"/>
    <col min="8962" max="8962" width="7.5703125" customWidth="1"/>
    <col min="8963" max="8963" width="40.85546875" customWidth="1"/>
    <col min="8964" max="8964" width="7.42578125" customWidth="1"/>
    <col min="8965" max="8974" width="8.7109375" customWidth="1"/>
    <col min="9217" max="9217" width="4.7109375" customWidth="1"/>
    <col min="9218" max="9218" width="7.5703125" customWidth="1"/>
    <col min="9219" max="9219" width="40.85546875" customWidth="1"/>
    <col min="9220" max="9220" width="7.42578125" customWidth="1"/>
    <col min="9221" max="9230" width="8.7109375" customWidth="1"/>
    <col min="9473" max="9473" width="4.7109375" customWidth="1"/>
    <col min="9474" max="9474" width="7.5703125" customWidth="1"/>
    <col min="9475" max="9475" width="40.85546875" customWidth="1"/>
    <col min="9476" max="9476" width="7.42578125" customWidth="1"/>
    <col min="9477" max="9486" width="8.7109375" customWidth="1"/>
    <col min="9729" max="9729" width="4.7109375" customWidth="1"/>
    <col min="9730" max="9730" width="7.5703125" customWidth="1"/>
    <col min="9731" max="9731" width="40.85546875" customWidth="1"/>
    <col min="9732" max="9732" width="7.42578125" customWidth="1"/>
    <col min="9733" max="9742" width="8.7109375" customWidth="1"/>
    <col min="9985" max="9985" width="4.7109375" customWidth="1"/>
    <col min="9986" max="9986" width="7.5703125" customWidth="1"/>
    <col min="9987" max="9987" width="40.85546875" customWidth="1"/>
    <col min="9988" max="9988" width="7.42578125" customWidth="1"/>
    <col min="9989" max="9998" width="8.7109375" customWidth="1"/>
    <col min="10241" max="10241" width="4.7109375" customWidth="1"/>
    <col min="10242" max="10242" width="7.5703125" customWidth="1"/>
    <col min="10243" max="10243" width="40.85546875" customWidth="1"/>
    <col min="10244" max="10244" width="7.42578125" customWidth="1"/>
    <col min="10245" max="10254" width="8.7109375" customWidth="1"/>
    <col min="10497" max="10497" width="4.7109375" customWidth="1"/>
    <col min="10498" max="10498" width="7.5703125" customWidth="1"/>
    <col min="10499" max="10499" width="40.85546875" customWidth="1"/>
    <col min="10500" max="10500" width="7.42578125" customWidth="1"/>
    <col min="10501" max="10510" width="8.7109375" customWidth="1"/>
    <col min="10753" max="10753" width="4.7109375" customWidth="1"/>
    <col min="10754" max="10754" width="7.5703125" customWidth="1"/>
    <col min="10755" max="10755" width="40.85546875" customWidth="1"/>
    <col min="10756" max="10756" width="7.42578125" customWidth="1"/>
    <col min="10757" max="10766" width="8.7109375" customWidth="1"/>
    <col min="11009" max="11009" width="4.7109375" customWidth="1"/>
    <col min="11010" max="11010" width="7.5703125" customWidth="1"/>
    <col min="11011" max="11011" width="40.85546875" customWidth="1"/>
    <col min="11012" max="11012" width="7.42578125" customWidth="1"/>
    <col min="11013" max="11022" width="8.7109375" customWidth="1"/>
    <col min="11265" max="11265" width="4.7109375" customWidth="1"/>
    <col min="11266" max="11266" width="7.5703125" customWidth="1"/>
    <col min="11267" max="11267" width="40.85546875" customWidth="1"/>
    <col min="11268" max="11268" width="7.42578125" customWidth="1"/>
    <col min="11269" max="11278" width="8.7109375" customWidth="1"/>
    <col min="11521" max="11521" width="4.7109375" customWidth="1"/>
    <col min="11522" max="11522" width="7.5703125" customWidth="1"/>
    <col min="11523" max="11523" width="40.85546875" customWidth="1"/>
    <col min="11524" max="11524" width="7.42578125" customWidth="1"/>
    <col min="11525" max="11534" width="8.7109375" customWidth="1"/>
    <col min="11777" max="11777" width="4.7109375" customWidth="1"/>
    <col min="11778" max="11778" width="7.5703125" customWidth="1"/>
    <col min="11779" max="11779" width="40.85546875" customWidth="1"/>
    <col min="11780" max="11780" width="7.42578125" customWidth="1"/>
    <col min="11781" max="11790" width="8.7109375" customWidth="1"/>
    <col min="12033" max="12033" width="4.7109375" customWidth="1"/>
    <col min="12034" max="12034" width="7.5703125" customWidth="1"/>
    <col min="12035" max="12035" width="40.85546875" customWidth="1"/>
    <col min="12036" max="12036" width="7.42578125" customWidth="1"/>
    <col min="12037" max="12046" width="8.7109375" customWidth="1"/>
    <col min="12289" max="12289" width="4.7109375" customWidth="1"/>
    <col min="12290" max="12290" width="7.5703125" customWidth="1"/>
    <col min="12291" max="12291" width="40.85546875" customWidth="1"/>
    <col min="12292" max="12292" width="7.42578125" customWidth="1"/>
    <col min="12293" max="12302" width="8.7109375" customWidth="1"/>
    <col min="12545" max="12545" width="4.7109375" customWidth="1"/>
    <col min="12546" max="12546" width="7.5703125" customWidth="1"/>
    <col min="12547" max="12547" width="40.85546875" customWidth="1"/>
    <col min="12548" max="12548" width="7.42578125" customWidth="1"/>
    <col min="12549" max="12558" width="8.7109375" customWidth="1"/>
    <col min="12801" max="12801" width="4.7109375" customWidth="1"/>
    <col min="12802" max="12802" width="7.5703125" customWidth="1"/>
    <col min="12803" max="12803" width="40.85546875" customWidth="1"/>
    <col min="12804" max="12804" width="7.42578125" customWidth="1"/>
    <col min="12805" max="12814" width="8.7109375" customWidth="1"/>
    <col min="13057" max="13057" width="4.7109375" customWidth="1"/>
    <col min="13058" max="13058" width="7.5703125" customWidth="1"/>
    <col min="13059" max="13059" width="40.85546875" customWidth="1"/>
    <col min="13060" max="13060" width="7.42578125" customWidth="1"/>
    <col min="13061" max="13070" width="8.7109375" customWidth="1"/>
    <col min="13313" max="13313" width="4.7109375" customWidth="1"/>
    <col min="13314" max="13314" width="7.5703125" customWidth="1"/>
    <col min="13315" max="13315" width="40.85546875" customWidth="1"/>
    <col min="13316" max="13316" width="7.42578125" customWidth="1"/>
    <col min="13317" max="13326" width="8.7109375" customWidth="1"/>
    <col min="13569" max="13569" width="4.7109375" customWidth="1"/>
    <col min="13570" max="13570" width="7.5703125" customWidth="1"/>
    <col min="13571" max="13571" width="40.85546875" customWidth="1"/>
    <col min="13572" max="13572" width="7.42578125" customWidth="1"/>
    <col min="13573" max="13582" width="8.7109375" customWidth="1"/>
    <col min="13825" max="13825" width="4.7109375" customWidth="1"/>
    <col min="13826" max="13826" width="7.5703125" customWidth="1"/>
    <col min="13827" max="13827" width="40.85546875" customWidth="1"/>
    <col min="13828" max="13828" width="7.42578125" customWidth="1"/>
    <col min="13829" max="13838" width="8.7109375" customWidth="1"/>
    <col min="14081" max="14081" width="4.7109375" customWidth="1"/>
    <col min="14082" max="14082" width="7.5703125" customWidth="1"/>
    <col min="14083" max="14083" width="40.85546875" customWidth="1"/>
    <col min="14084" max="14084" width="7.42578125" customWidth="1"/>
    <col min="14085" max="14094" width="8.7109375" customWidth="1"/>
    <col min="14337" max="14337" width="4.7109375" customWidth="1"/>
    <col min="14338" max="14338" width="7.5703125" customWidth="1"/>
    <col min="14339" max="14339" width="40.85546875" customWidth="1"/>
    <col min="14340" max="14340" width="7.42578125" customWidth="1"/>
    <col min="14341" max="14350" width="8.7109375" customWidth="1"/>
    <col min="14593" max="14593" width="4.7109375" customWidth="1"/>
    <col min="14594" max="14594" width="7.5703125" customWidth="1"/>
    <col min="14595" max="14595" width="40.85546875" customWidth="1"/>
    <col min="14596" max="14596" width="7.42578125" customWidth="1"/>
    <col min="14597" max="14606" width="8.7109375" customWidth="1"/>
    <col min="14849" max="14849" width="4.7109375" customWidth="1"/>
    <col min="14850" max="14850" width="7.5703125" customWidth="1"/>
    <col min="14851" max="14851" width="40.85546875" customWidth="1"/>
    <col min="14852" max="14852" width="7.42578125" customWidth="1"/>
    <col min="14853" max="14862" width="8.7109375" customWidth="1"/>
    <col min="15105" max="15105" width="4.7109375" customWidth="1"/>
    <col min="15106" max="15106" width="7.5703125" customWidth="1"/>
    <col min="15107" max="15107" width="40.85546875" customWidth="1"/>
    <col min="15108" max="15108" width="7.42578125" customWidth="1"/>
    <col min="15109" max="15118" width="8.7109375" customWidth="1"/>
    <col min="15361" max="15361" width="4.7109375" customWidth="1"/>
    <col min="15362" max="15362" width="7.5703125" customWidth="1"/>
    <col min="15363" max="15363" width="40.85546875" customWidth="1"/>
    <col min="15364" max="15364" width="7.42578125" customWidth="1"/>
    <col min="15365" max="15374" width="8.7109375" customWidth="1"/>
    <col min="15617" max="15617" width="4.7109375" customWidth="1"/>
    <col min="15618" max="15618" width="7.5703125" customWidth="1"/>
    <col min="15619" max="15619" width="40.85546875" customWidth="1"/>
    <col min="15620" max="15620" width="7.42578125" customWidth="1"/>
    <col min="15621" max="15630" width="8.7109375" customWidth="1"/>
    <col min="15873" max="15873" width="4.7109375" customWidth="1"/>
    <col min="15874" max="15874" width="7.5703125" customWidth="1"/>
    <col min="15875" max="15875" width="40.85546875" customWidth="1"/>
    <col min="15876" max="15876" width="7.42578125" customWidth="1"/>
    <col min="15877" max="15886" width="8.7109375" customWidth="1"/>
    <col min="16129" max="16129" width="4.7109375" customWidth="1"/>
    <col min="16130" max="16130" width="7.5703125" customWidth="1"/>
    <col min="16131" max="16131" width="40.85546875" customWidth="1"/>
    <col min="16132" max="16132" width="7.42578125" customWidth="1"/>
    <col min="16133" max="16142" width="8.7109375" customWidth="1"/>
  </cols>
  <sheetData>
    <row r="1" spans="1:16" ht="3.75" customHeight="1" x14ac:dyDescent="0.2"/>
    <row r="2" spans="1:16" ht="37.5" customHeight="1" thickBot="1" x14ac:dyDescent="0.3">
      <c r="C2" s="184" t="s">
        <v>180</v>
      </c>
      <c r="D2" s="184"/>
      <c r="E2" s="184"/>
      <c r="F2" s="184"/>
      <c r="G2" s="184"/>
      <c r="H2" s="184"/>
      <c r="I2" s="184"/>
      <c r="J2" s="184"/>
      <c r="K2" s="184"/>
      <c r="L2" s="184"/>
    </row>
    <row r="3" spans="1:16" x14ac:dyDescent="0.2">
      <c r="A3" s="185" t="s">
        <v>35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7"/>
    </row>
    <row r="4" spans="1:16" ht="13.5" thickBot="1" x14ac:dyDescent="0.25">
      <c r="A4" s="188" t="s">
        <v>36</v>
      </c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90"/>
    </row>
    <row r="5" spans="1:16" x14ac:dyDescent="0.2">
      <c r="A5" s="146">
        <v>1</v>
      </c>
      <c r="B5" s="191" t="s">
        <v>31</v>
      </c>
      <c r="C5" s="192"/>
      <c r="D5" s="193"/>
      <c r="E5" s="193"/>
      <c r="F5" s="193"/>
      <c r="G5" s="193"/>
      <c r="H5" s="193"/>
      <c r="I5" s="193"/>
      <c r="J5" s="193"/>
      <c r="K5" s="193"/>
      <c r="L5" s="194"/>
    </row>
    <row r="6" spans="1:16" x14ac:dyDescent="0.2">
      <c r="A6" s="146">
        <f>A5+1</f>
        <v>2</v>
      </c>
      <c r="B6" s="178" t="s">
        <v>32</v>
      </c>
      <c r="C6" s="179"/>
      <c r="D6" s="180"/>
      <c r="E6" s="180"/>
      <c r="F6" s="180"/>
      <c r="G6" s="180"/>
      <c r="H6" s="180"/>
      <c r="I6" s="180"/>
      <c r="J6" s="180"/>
      <c r="K6" s="180"/>
      <c r="L6" s="181"/>
    </row>
    <row r="7" spans="1:16" x14ac:dyDescent="0.2">
      <c r="A7" s="16">
        <f t="shared" ref="A7:A57" si="0">A6+1</f>
        <v>3</v>
      </c>
      <c r="B7" s="174" t="s">
        <v>33</v>
      </c>
      <c r="C7" s="175"/>
      <c r="D7" s="182"/>
      <c r="E7" s="182"/>
      <c r="F7" s="182"/>
      <c r="G7" s="182"/>
      <c r="H7" s="182"/>
      <c r="I7" s="182"/>
      <c r="J7" s="182"/>
      <c r="K7" s="182"/>
      <c r="L7" s="183"/>
    </row>
    <row r="8" spans="1:16" ht="13.5" thickBot="1" x14ac:dyDescent="0.25">
      <c r="A8" s="16">
        <f t="shared" si="0"/>
        <v>4</v>
      </c>
      <c r="B8" s="174" t="s">
        <v>34</v>
      </c>
      <c r="C8" s="175"/>
      <c r="D8" s="82"/>
      <c r="E8" s="81"/>
      <c r="F8" s="21"/>
      <c r="G8" s="21"/>
      <c r="H8" s="21"/>
      <c r="I8" s="21"/>
      <c r="J8" s="21"/>
      <c r="K8" s="22"/>
      <c r="L8" s="64"/>
      <c r="M8" s="1"/>
      <c r="N8" s="1"/>
      <c r="O8" s="1"/>
      <c r="P8" s="1"/>
    </row>
    <row r="9" spans="1:16" ht="18.75" thickBot="1" x14ac:dyDescent="0.3">
      <c r="A9" s="16">
        <f t="shared" si="0"/>
        <v>5</v>
      </c>
      <c r="B9" s="171" t="s">
        <v>0</v>
      </c>
      <c r="C9" s="172"/>
      <c r="D9" s="172"/>
      <c r="E9" s="172"/>
      <c r="F9" s="172"/>
      <c r="G9" s="172"/>
      <c r="H9" s="172"/>
      <c r="I9" s="172"/>
      <c r="J9" s="172"/>
      <c r="K9" s="172"/>
      <c r="L9" s="173"/>
      <c r="M9" s="2"/>
      <c r="N9" s="1"/>
      <c r="O9" s="1"/>
      <c r="P9" s="1"/>
    </row>
    <row r="10" spans="1:16" x14ac:dyDescent="0.2">
      <c r="A10" s="16">
        <f t="shared" si="0"/>
        <v>6</v>
      </c>
      <c r="B10" s="174" t="s">
        <v>5</v>
      </c>
      <c r="C10" s="175"/>
      <c r="D10" s="142"/>
      <c r="E10" s="127"/>
      <c r="F10" s="128"/>
      <c r="G10" s="130"/>
      <c r="H10" s="130"/>
      <c r="I10" s="130"/>
      <c r="J10" s="131"/>
      <c r="K10" s="131"/>
      <c r="L10" s="132"/>
      <c r="M10" s="1"/>
      <c r="N10" s="1"/>
      <c r="O10" s="1"/>
      <c r="P10" s="1"/>
    </row>
    <row r="11" spans="1:16" x14ac:dyDescent="0.2">
      <c r="A11" s="16">
        <f t="shared" si="0"/>
        <v>7</v>
      </c>
      <c r="B11" s="174" t="s">
        <v>6</v>
      </c>
      <c r="C11" s="175"/>
      <c r="D11" s="17"/>
      <c r="E11" s="176" t="s">
        <v>171</v>
      </c>
      <c r="F11" s="177"/>
      <c r="G11" s="21"/>
      <c r="H11" s="21"/>
      <c r="I11" s="21"/>
      <c r="J11" s="22"/>
      <c r="K11" s="22"/>
      <c r="L11" s="64"/>
      <c r="M11" s="1"/>
      <c r="N11" s="1"/>
      <c r="O11" s="1"/>
      <c r="P11" s="1"/>
    </row>
    <row r="12" spans="1:16" x14ac:dyDescent="0.2">
      <c r="A12" s="16">
        <f t="shared" si="0"/>
        <v>8</v>
      </c>
      <c r="B12" s="174" t="s">
        <v>7</v>
      </c>
      <c r="C12" s="175"/>
      <c r="D12" s="142"/>
      <c r="E12" s="127"/>
      <c r="F12" s="128"/>
      <c r="G12" s="130"/>
      <c r="H12" s="130"/>
      <c r="I12" s="130"/>
      <c r="J12" s="131"/>
      <c r="K12" s="131"/>
      <c r="L12" s="132"/>
      <c r="M12" s="1"/>
      <c r="N12" s="1"/>
      <c r="O12" s="1"/>
      <c r="P12" s="1"/>
    </row>
    <row r="13" spans="1:16" x14ac:dyDescent="0.2">
      <c r="A13" s="16">
        <f t="shared" si="0"/>
        <v>9</v>
      </c>
      <c r="B13" s="174" t="s">
        <v>8</v>
      </c>
      <c r="C13" s="175"/>
      <c r="D13" s="81"/>
      <c r="E13" s="79"/>
      <c r="F13" s="14"/>
      <c r="G13" s="21"/>
      <c r="H13" s="21"/>
      <c r="I13" s="21"/>
      <c r="J13" s="22"/>
      <c r="K13" s="22"/>
      <c r="L13" s="64"/>
      <c r="M13" s="1"/>
      <c r="N13" s="1"/>
      <c r="O13" s="1"/>
      <c r="P13" s="1"/>
    </row>
    <row r="14" spans="1:16" x14ac:dyDescent="0.2">
      <c r="A14" s="16">
        <f t="shared" si="0"/>
        <v>10</v>
      </c>
      <c r="B14" s="174" t="s">
        <v>9</v>
      </c>
      <c r="C14" s="175"/>
      <c r="D14" s="142"/>
      <c r="E14" s="127"/>
      <c r="F14" s="128"/>
      <c r="G14" s="130"/>
      <c r="H14" s="130"/>
      <c r="I14" s="130"/>
      <c r="J14" s="131"/>
      <c r="K14" s="131"/>
      <c r="L14" s="132"/>
      <c r="M14" s="1"/>
      <c r="N14" s="1"/>
      <c r="O14" s="1"/>
      <c r="P14" s="1"/>
    </row>
    <row r="15" spans="1:16" x14ac:dyDescent="0.2">
      <c r="A15" s="16">
        <f t="shared" si="0"/>
        <v>11</v>
      </c>
      <c r="B15" s="174" t="s">
        <v>10</v>
      </c>
      <c r="C15" s="175"/>
      <c r="D15" s="81"/>
      <c r="E15" s="79"/>
      <c r="F15" s="14"/>
      <c r="G15" s="21"/>
      <c r="H15" s="21"/>
      <c r="I15" s="21"/>
      <c r="J15" s="22"/>
      <c r="K15" s="22"/>
      <c r="L15" s="64"/>
      <c r="M15" s="1"/>
      <c r="N15" s="1"/>
      <c r="O15" s="1"/>
      <c r="P15" s="1"/>
    </row>
    <row r="16" spans="1:16" x14ac:dyDescent="0.2">
      <c r="A16" s="16">
        <f t="shared" si="0"/>
        <v>12</v>
      </c>
      <c r="B16" s="174" t="s">
        <v>10</v>
      </c>
      <c r="C16" s="175"/>
      <c r="D16" s="142"/>
      <c r="E16" s="127"/>
      <c r="F16" s="128"/>
      <c r="G16" s="130"/>
      <c r="H16" s="147"/>
      <c r="I16" s="130"/>
      <c r="J16" s="131"/>
      <c r="K16" s="131"/>
      <c r="L16" s="132"/>
      <c r="M16" s="22"/>
      <c r="N16" s="22"/>
      <c r="O16" s="1"/>
      <c r="P16" s="1"/>
    </row>
    <row r="17" spans="1:22" x14ac:dyDescent="0.2">
      <c r="A17" s="16">
        <f t="shared" si="0"/>
        <v>13</v>
      </c>
      <c r="B17" s="195" t="s">
        <v>11</v>
      </c>
      <c r="C17" s="196"/>
      <c r="D17" s="82"/>
      <c r="E17" s="83"/>
      <c r="F17" s="14"/>
      <c r="G17" s="21"/>
      <c r="H17" s="21"/>
      <c r="I17" s="21"/>
      <c r="J17" s="22"/>
      <c r="K17" s="22"/>
      <c r="L17" s="64"/>
      <c r="M17" s="22"/>
      <c r="N17" s="22"/>
      <c r="O17" s="1"/>
      <c r="P17" s="1"/>
    </row>
    <row r="18" spans="1:22" x14ac:dyDescent="0.2">
      <c r="A18" s="16">
        <f t="shared" si="0"/>
        <v>14</v>
      </c>
      <c r="B18" s="174" t="s">
        <v>12</v>
      </c>
      <c r="C18" s="175"/>
      <c r="D18" s="81"/>
      <c r="E18" s="79"/>
      <c r="F18" s="14"/>
      <c r="G18" s="21"/>
      <c r="H18" s="21"/>
      <c r="I18" s="21"/>
      <c r="J18" s="22"/>
      <c r="K18" s="22"/>
      <c r="L18" s="64"/>
      <c r="M18" s="22"/>
      <c r="N18" s="22"/>
      <c r="O18" s="1"/>
      <c r="P18" s="1"/>
    </row>
    <row r="19" spans="1:22" x14ac:dyDescent="0.2">
      <c r="A19" s="16">
        <f t="shared" si="0"/>
        <v>15</v>
      </c>
      <c r="B19" s="178" t="s">
        <v>13</v>
      </c>
      <c r="C19" s="179"/>
      <c r="D19" s="197"/>
      <c r="E19" s="127"/>
      <c r="F19" s="128"/>
      <c r="G19" s="130"/>
      <c r="H19" s="130"/>
      <c r="I19" s="130"/>
      <c r="J19" s="131"/>
      <c r="K19" s="131"/>
      <c r="L19" s="132"/>
      <c r="M19" s="1"/>
      <c r="N19" s="1"/>
      <c r="O19" s="1"/>
      <c r="P19" s="1"/>
    </row>
    <row r="20" spans="1:22" x14ac:dyDescent="0.2">
      <c r="A20" s="16">
        <f t="shared" si="0"/>
        <v>16</v>
      </c>
      <c r="B20" s="174" t="s">
        <v>14</v>
      </c>
      <c r="C20" s="175"/>
      <c r="D20" s="81"/>
      <c r="E20" s="79"/>
      <c r="F20" s="14"/>
      <c r="G20" s="21"/>
      <c r="H20" s="21"/>
      <c r="I20" s="21"/>
      <c r="J20" s="22"/>
      <c r="K20" s="22"/>
      <c r="L20" s="64"/>
      <c r="M20" s="1"/>
      <c r="N20" s="1"/>
      <c r="O20" s="1"/>
      <c r="P20" s="1"/>
    </row>
    <row r="21" spans="1:22" x14ac:dyDescent="0.2">
      <c r="A21" s="16">
        <f t="shared" si="0"/>
        <v>17</v>
      </c>
      <c r="B21" s="174" t="s">
        <v>15</v>
      </c>
      <c r="C21" s="175"/>
      <c r="D21" s="81"/>
      <c r="E21" s="79"/>
      <c r="F21" s="14"/>
      <c r="G21" s="21"/>
      <c r="H21" s="21"/>
      <c r="I21" s="21"/>
      <c r="J21" s="22"/>
      <c r="K21" s="22"/>
      <c r="L21" s="64"/>
      <c r="M21" s="1"/>
      <c r="N21" s="1"/>
      <c r="O21" s="1"/>
      <c r="P21" s="1"/>
    </row>
    <row r="22" spans="1:22" x14ac:dyDescent="0.2">
      <c r="A22" s="16">
        <f t="shared" si="0"/>
        <v>18</v>
      </c>
      <c r="B22" s="195" t="s">
        <v>38</v>
      </c>
      <c r="C22" s="196"/>
      <c r="D22" s="81"/>
      <c r="E22" s="79"/>
      <c r="F22" s="84"/>
      <c r="G22" s="17"/>
      <c r="H22" s="21"/>
      <c r="I22" s="21"/>
      <c r="J22" s="22"/>
      <c r="K22" s="22"/>
      <c r="L22" s="64"/>
      <c r="M22" s="1"/>
      <c r="N22" s="1"/>
      <c r="O22" s="1"/>
      <c r="P22" s="1"/>
    </row>
    <row r="23" spans="1:22" x14ac:dyDescent="0.2">
      <c r="A23" s="16">
        <f t="shared" si="0"/>
        <v>19</v>
      </c>
      <c r="B23" s="174" t="s">
        <v>16</v>
      </c>
      <c r="C23" s="175"/>
      <c r="D23" s="142"/>
      <c r="E23" s="127"/>
      <c r="F23" s="128"/>
      <c r="G23" s="130"/>
      <c r="H23" s="130"/>
      <c r="I23" s="130"/>
      <c r="J23" s="131"/>
      <c r="K23" s="131"/>
      <c r="L23" s="132"/>
      <c r="M23" s="1"/>
      <c r="N23" s="1"/>
      <c r="O23" s="1"/>
      <c r="P23" s="1"/>
    </row>
    <row r="24" spans="1:22" x14ac:dyDescent="0.2">
      <c r="A24" s="16">
        <f t="shared" si="0"/>
        <v>20</v>
      </c>
      <c r="B24" s="174" t="s">
        <v>37</v>
      </c>
      <c r="C24" s="175"/>
      <c r="D24" s="81"/>
      <c r="E24" s="79"/>
      <c r="F24" s="84"/>
      <c r="G24" s="21"/>
      <c r="H24" s="21"/>
      <c r="I24" s="21"/>
      <c r="J24" s="22"/>
      <c r="K24" s="22"/>
      <c r="L24" s="64"/>
      <c r="M24" s="1"/>
      <c r="N24" s="1"/>
      <c r="O24" s="1"/>
      <c r="P24" s="1"/>
    </row>
    <row r="25" spans="1:22" x14ac:dyDescent="0.2">
      <c r="A25" s="16">
        <f t="shared" si="0"/>
        <v>21</v>
      </c>
      <c r="B25" s="174" t="s">
        <v>17</v>
      </c>
      <c r="C25" s="175"/>
      <c r="D25" s="81"/>
      <c r="E25" s="13"/>
      <c r="F25" s="84"/>
      <c r="G25" s="21"/>
      <c r="H25" s="21"/>
      <c r="I25" s="21"/>
      <c r="J25" s="22"/>
      <c r="K25" s="22"/>
      <c r="L25" s="64"/>
      <c r="M25" s="1"/>
      <c r="N25" s="1"/>
      <c r="O25" s="1"/>
      <c r="P25" s="1"/>
    </row>
    <row r="26" spans="1:22" x14ac:dyDescent="0.2">
      <c r="A26" s="16">
        <f t="shared" si="0"/>
        <v>22</v>
      </c>
      <c r="B26" s="174" t="s">
        <v>170</v>
      </c>
      <c r="C26" s="175"/>
      <c r="D26" s="81"/>
      <c r="E26" s="79"/>
      <c r="F26" s="84"/>
      <c r="G26" s="17"/>
      <c r="H26" s="21"/>
      <c r="I26" s="21"/>
      <c r="J26" s="21"/>
      <c r="K26" s="22"/>
      <c r="L26" s="64"/>
      <c r="M26" s="22"/>
      <c r="N26" s="22"/>
      <c r="O26" s="22"/>
      <c r="P26" s="22"/>
      <c r="Q26" s="22"/>
      <c r="R26" s="17"/>
      <c r="S26" s="17"/>
      <c r="T26" s="17"/>
      <c r="U26" s="17"/>
      <c r="V26" s="17"/>
    </row>
    <row r="27" spans="1:22" ht="13.5" thickBot="1" x14ac:dyDescent="0.25">
      <c r="A27" s="16">
        <f t="shared" si="0"/>
        <v>23</v>
      </c>
      <c r="B27" s="174" t="s">
        <v>18</v>
      </c>
      <c r="C27" s="175"/>
      <c r="D27" s="142"/>
      <c r="E27" s="135"/>
      <c r="F27" s="136"/>
      <c r="G27" s="138"/>
      <c r="H27" s="138"/>
      <c r="I27" s="138"/>
      <c r="J27" s="139"/>
      <c r="K27" s="139"/>
      <c r="L27" s="140"/>
      <c r="M27" s="1"/>
      <c r="N27" s="1"/>
      <c r="O27" s="1"/>
      <c r="P27" s="1"/>
    </row>
    <row r="28" spans="1:22" ht="16.5" thickBot="1" x14ac:dyDescent="0.3">
      <c r="A28" s="16">
        <f t="shared" si="0"/>
        <v>24</v>
      </c>
      <c r="B28" s="198" t="s">
        <v>1</v>
      </c>
      <c r="C28" s="199"/>
      <c r="D28" s="10"/>
      <c r="E28" s="18"/>
      <c r="F28" s="18"/>
      <c r="G28" s="10"/>
      <c r="H28" s="10"/>
      <c r="I28" s="10"/>
      <c r="J28" s="10"/>
      <c r="K28" s="10"/>
      <c r="L28" s="11"/>
      <c r="M28" s="1"/>
      <c r="N28" s="1"/>
      <c r="O28" s="1"/>
      <c r="P28" s="1"/>
    </row>
    <row r="29" spans="1:22" x14ac:dyDescent="0.2">
      <c r="A29" s="16">
        <f t="shared" si="0"/>
        <v>25</v>
      </c>
      <c r="B29" s="200" t="s">
        <v>19</v>
      </c>
      <c r="C29" s="201"/>
      <c r="D29" s="85"/>
      <c r="E29" s="86"/>
      <c r="F29" s="168"/>
      <c r="G29" s="23"/>
      <c r="H29" s="75"/>
      <c r="I29" s="75"/>
      <c r="J29" s="19"/>
      <c r="K29" s="19"/>
      <c r="L29" s="58"/>
    </row>
    <row r="30" spans="1:22" x14ac:dyDescent="0.2">
      <c r="A30" s="16">
        <f t="shared" si="0"/>
        <v>26</v>
      </c>
      <c r="B30" s="174" t="s">
        <v>20</v>
      </c>
      <c r="C30" s="175"/>
      <c r="D30" s="84"/>
      <c r="E30" s="79"/>
      <c r="F30" s="14"/>
      <c r="G30" s="24"/>
      <c r="H30" s="21"/>
      <c r="I30" s="21"/>
      <c r="J30" s="17"/>
      <c r="K30" s="17"/>
      <c r="L30" s="48"/>
    </row>
    <row r="31" spans="1:22" x14ac:dyDescent="0.2">
      <c r="A31" s="16">
        <f t="shared" si="0"/>
        <v>27</v>
      </c>
      <c r="B31" s="174" t="s">
        <v>21</v>
      </c>
      <c r="C31" s="175"/>
      <c r="D31" s="14"/>
      <c r="E31" s="79"/>
      <c r="F31" s="14"/>
      <c r="G31" s="24"/>
      <c r="H31" s="21"/>
      <c r="I31" s="21"/>
      <c r="J31" s="17"/>
      <c r="K31" s="17"/>
      <c r="L31" s="48"/>
    </row>
    <row r="32" spans="1:22" x14ac:dyDescent="0.2">
      <c r="A32" s="16">
        <f t="shared" si="0"/>
        <v>28</v>
      </c>
      <c r="B32" s="174" t="s">
        <v>22</v>
      </c>
      <c r="C32" s="175"/>
      <c r="D32" s="84"/>
      <c r="E32" s="79"/>
      <c r="F32" s="14"/>
      <c r="G32" s="24"/>
      <c r="H32" s="21"/>
      <c r="I32" s="21"/>
      <c r="J32" s="17"/>
      <c r="K32" s="17"/>
      <c r="L32" s="48"/>
    </row>
    <row r="33" spans="1:13" x14ac:dyDescent="0.2">
      <c r="A33" s="16">
        <f t="shared" si="0"/>
        <v>29</v>
      </c>
      <c r="B33" s="174" t="s">
        <v>23</v>
      </c>
      <c r="C33" s="175"/>
      <c r="D33" s="84"/>
      <c r="E33" s="79"/>
      <c r="F33" s="14"/>
      <c r="G33" s="24"/>
      <c r="H33" s="21"/>
      <c r="I33" s="21"/>
      <c r="J33" s="17"/>
      <c r="K33" s="17"/>
      <c r="L33" s="48"/>
    </row>
    <row r="34" spans="1:13" x14ac:dyDescent="0.2">
      <c r="A34" s="16">
        <f t="shared" si="0"/>
        <v>30</v>
      </c>
      <c r="B34" s="174" t="s">
        <v>24</v>
      </c>
      <c r="C34" s="175"/>
      <c r="D34" s="84"/>
      <c r="E34" s="79"/>
      <c r="F34" s="84"/>
      <c r="G34" s="24"/>
      <c r="H34" s="21"/>
      <c r="I34" s="21"/>
      <c r="J34" s="17"/>
      <c r="K34" s="17"/>
      <c r="L34" s="48"/>
    </row>
    <row r="35" spans="1:13" x14ac:dyDescent="0.2">
      <c r="A35" s="16">
        <f t="shared" si="0"/>
        <v>31</v>
      </c>
      <c r="B35" s="174" t="s">
        <v>25</v>
      </c>
      <c r="C35" s="175"/>
      <c r="D35" s="84"/>
      <c r="E35" s="79"/>
      <c r="F35" s="84"/>
      <c r="G35" s="24"/>
      <c r="H35" s="21"/>
      <c r="I35" s="21"/>
      <c r="J35" s="17"/>
      <c r="K35" s="17"/>
      <c r="L35" s="48"/>
    </row>
    <row r="36" spans="1:13" x14ac:dyDescent="0.2">
      <c r="A36" s="16">
        <f t="shared" si="0"/>
        <v>32</v>
      </c>
      <c r="B36" s="174" t="s">
        <v>26</v>
      </c>
      <c r="C36" s="175"/>
      <c r="D36" s="84"/>
      <c r="E36" s="79"/>
      <c r="F36" s="84"/>
      <c r="G36" s="24"/>
      <c r="H36" s="21"/>
      <c r="I36" s="21"/>
      <c r="J36" s="17"/>
      <c r="K36" s="17"/>
      <c r="L36" s="48"/>
    </row>
    <row r="37" spans="1:13" x14ac:dyDescent="0.2">
      <c r="A37" s="16">
        <f t="shared" si="0"/>
        <v>33</v>
      </c>
      <c r="B37" s="174" t="s">
        <v>27</v>
      </c>
      <c r="C37" s="175"/>
      <c r="D37" s="84"/>
      <c r="E37" s="79"/>
      <c r="F37" s="79"/>
      <c r="G37" s="21"/>
      <c r="I37" s="21"/>
      <c r="J37" s="17"/>
      <c r="K37" s="17"/>
      <c r="L37" s="48"/>
    </row>
    <row r="38" spans="1:13" ht="13.5" thickBot="1" x14ac:dyDescent="0.25">
      <c r="A38" s="16">
        <f t="shared" si="0"/>
        <v>34</v>
      </c>
      <c r="B38" s="174" t="s">
        <v>28</v>
      </c>
      <c r="C38" s="175"/>
      <c r="D38" s="84"/>
      <c r="E38" s="87"/>
      <c r="F38" s="88"/>
      <c r="G38" s="25"/>
      <c r="H38" s="74"/>
      <c r="I38" s="74"/>
      <c r="J38" s="73"/>
      <c r="K38" s="73"/>
      <c r="L38" s="49"/>
    </row>
    <row r="39" spans="1:13" ht="16.5" thickBot="1" x14ac:dyDescent="0.3">
      <c r="A39" s="16">
        <f t="shared" si="0"/>
        <v>35</v>
      </c>
      <c r="B39" s="202" t="s">
        <v>2</v>
      </c>
      <c r="C39" s="203"/>
      <c r="D39" s="12"/>
      <c r="E39" s="12"/>
      <c r="F39" s="12"/>
      <c r="G39" s="12"/>
      <c r="H39" s="12"/>
      <c r="I39" s="12"/>
      <c r="J39" s="12"/>
      <c r="K39" s="12"/>
      <c r="L39" s="11"/>
      <c r="M39" s="3"/>
    </row>
    <row r="40" spans="1:13" x14ac:dyDescent="0.2">
      <c r="A40" s="16">
        <f t="shared" si="0"/>
        <v>36</v>
      </c>
      <c r="B40" s="200" t="s">
        <v>19</v>
      </c>
      <c r="C40" s="201"/>
      <c r="D40" s="85"/>
      <c r="E40" s="86"/>
      <c r="F40" s="168"/>
      <c r="G40" s="75"/>
      <c r="H40" s="75"/>
      <c r="I40" s="75"/>
      <c r="J40" s="19"/>
      <c r="K40" s="19"/>
      <c r="L40" s="58"/>
    </row>
    <row r="41" spans="1:13" x14ac:dyDescent="0.2">
      <c r="A41" s="16">
        <f t="shared" si="0"/>
        <v>37</v>
      </c>
      <c r="B41" s="174" t="s">
        <v>20</v>
      </c>
      <c r="C41" s="175"/>
      <c r="D41" s="84"/>
      <c r="E41" s="79"/>
      <c r="F41" s="14"/>
      <c r="G41" s="21"/>
      <c r="H41" s="21"/>
      <c r="I41" s="21"/>
      <c r="J41" s="17"/>
      <c r="K41" s="17"/>
      <c r="L41" s="48"/>
    </row>
    <row r="42" spans="1:13" x14ac:dyDescent="0.2">
      <c r="A42" s="16">
        <f t="shared" si="0"/>
        <v>38</v>
      </c>
      <c r="B42" s="174" t="s">
        <v>21</v>
      </c>
      <c r="C42" s="175"/>
      <c r="D42" s="14"/>
      <c r="E42" s="79"/>
      <c r="F42" s="14"/>
      <c r="G42" s="21"/>
      <c r="H42" s="21"/>
      <c r="I42" s="21"/>
      <c r="J42" s="17"/>
      <c r="K42" s="17"/>
      <c r="L42" s="48"/>
    </row>
    <row r="43" spans="1:13" x14ac:dyDescent="0.2">
      <c r="A43" s="16">
        <f t="shared" si="0"/>
        <v>39</v>
      </c>
      <c r="B43" s="174" t="s">
        <v>22</v>
      </c>
      <c r="C43" s="175"/>
      <c r="D43" s="84"/>
      <c r="E43" s="79"/>
      <c r="F43" s="14"/>
      <c r="G43" s="21"/>
      <c r="H43" s="21"/>
      <c r="I43" s="21"/>
      <c r="J43" s="17"/>
      <c r="K43" s="17"/>
      <c r="L43" s="48"/>
    </row>
    <row r="44" spans="1:13" x14ac:dyDescent="0.2">
      <c r="A44" s="16">
        <f t="shared" si="0"/>
        <v>40</v>
      </c>
      <c r="B44" s="174" t="s">
        <v>23</v>
      </c>
      <c r="C44" s="175"/>
      <c r="D44" s="84"/>
      <c r="E44" s="79"/>
      <c r="F44" s="14"/>
      <c r="G44" s="21"/>
      <c r="H44" s="21"/>
      <c r="I44" s="21"/>
      <c r="J44" s="17"/>
      <c r="K44" s="17"/>
      <c r="L44" s="48"/>
    </row>
    <row r="45" spans="1:13" x14ac:dyDescent="0.2">
      <c r="A45" s="16">
        <f t="shared" si="0"/>
        <v>41</v>
      </c>
      <c r="B45" s="174" t="s">
        <v>24</v>
      </c>
      <c r="C45" s="175"/>
      <c r="D45" s="84"/>
      <c r="E45" s="79"/>
      <c r="F45" s="14"/>
      <c r="G45" s="21"/>
      <c r="H45" s="21"/>
      <c r="I45" s="21"/>
      <c r="J45" s="17"/>
      <c r="K45" s="17"/>
      <c r="L45" s="48"/>
    </row>
    <row r="46" spans="1:13" x14ac:dyDescent="0.2">
      <c r="A46" s="16">
        <f t="shared" si="0"/>
        <v>42</v>
      </c>
      <c r="B46" s="174" t="s">
        <v>25</v>
      </c>
      <c r="C46" s="175"/>
      <c r="D46" s="84"/>
      <c r="E46" s="79"/>
      <c r="F46" s="14"/>
      <c r="G46" s="21"/>
      <c r="H46" s="21"/>
      <c r="I46" s="21"/>
      <c r="J46" s="17"/>
      <c r="K46" s="17"/>
      <c r="L46" s="48"/>
    </row>
    <row r="47" spans="1:13" x14ac:dyDescent="0.2">
      <c r="A47" s="16">
        <f t="shared" si="0"/>
        <v>43</v>
      </c>
      <c r="B47" s="174" t="s">
        <v>26</v>
      </c>
      <c r="C47" s="175"/>
      <c r="D47" s="84"/>
      <c r="E47" s="79"/>
      <c r="F47" s="84"/>
      <c r="G47" s="21"/>
      <c r="H47" s="21"/>
      <c r="I47" s="21"/>
      <c r="J47" s="17"/>
      <c r="K47" s="17"/>
      <c r="L47" s="48"/>
    </row>
    <row r="48" spans="1:13" ht="18.600000000000001" customHeight="1" x14ac:dyDescent="0.2">
      <c r="A48" s="16">
        <f t="shared" si="0"/>
        <v>44</v>
      </c>
      <c r="B48" s="174" t="s">
        <v>29</v>
      </c>
      <c r="C48" s="175"/>
      <c r="D48" s="84"/>
      <c r="E48" s="79"/>
      <c r="F48" s="84"/>
      <c r="G48" s="21"/>
      <c r="H48" s="21"/>
      <c r="I48" s="21"/>
      <c r="J48" s="17"/>
      <c r="K48" s="17"/>
      <c r="L48" s="48"/>
    </row>
    <row r="49" spans="1:12" ht="13.5" thickBot="1" x14ac:dyDescent="0.25">
      <c r="A49" s="16">
        <f t="shared" si="0"/>
        <v>45</v>
      </c>
      <c r="B49" s="174" t="s">
        <v>28</v>
      </c>
      <c r="C49" s="175"/>
      <c r="D49" s="84"/>
      <c r="E49" s="87"/>
      <c r="F49" s="88"/>
      <c r="G49" s="74"/>
      <c r="H49" s="74"/>
      <c r="I49" s="74"/>
      <c r="J49" s="73"/>
      <c r="K49" s="73"/>
      <c r="L49" s="49"/>
    </row>
    <row r="50" spans="1:12" ht="16.5" thickBot="1" x14ac:dyDescent="0.3">
      <c r="A50" s="16">
        <f t="shared" si="0"/>
        <v>46</v>
      </c>
      <c r="B50" s="202" t="s">
        <v>3</v>
      </c>
      <c r="C50" s="203"/>
      <c r="D50" s="203"/>
      <c r="E50" s="12"/>
      <c r="F50" s="12"/>
      <c r="G50" s="97"/>
      <c r="H50" s="97"/>
      <c r="I50" s="97"/>
      <c r="J50" s="59"/>
      <c r="K50" s="59"/>
      <c r="L50" s="60"/>
    </row>
    <row r="51" spans="1:12" x14ac:dyDescent="0.2">
      <c r="A51" s="16">
        <f t="shared" si="0"/>
        <v>47</v>
      </c>
      <c r="B51" s="169"/>
      <c r="C51" s="142"/>
      <c r="D51" s="142"/>
      <c r="E51" s="142"/>
      <c r="F51" s="142"/>
      <c r="G51" s="142"/>
      <c r="H51" s="142"/>
      <c r="I51" s="142"/>
      <c r="J51" s="142"/>
      <c r="K51" s="142"/>
      <c r="L51" s="133"/>
    </row>
    <row r="52" spans="1:12" x14ac:dyDescent="0.2">
      <c r="A52" s="16">
        <f t="shared" si="0"/>
        <v>48</v>
      </c>
      <c r="B52" s="170"/>
      <c r="C52" s="142"/>
      <c r="D52" s="142"/>
      <c r="E52" s="142"/>
      <c r="F52" s="142"/>
      <c r="G52" s="142"/>
      <c r="H52" s="142"/>
      <c r="I52" s="142"/>
      <c r="J52" s="142"/>
      <c r="K52" s="142"/>
      <c r="L52" s="133"/>
    </row>
    <row r="53" spans="1:12" x14ac:dyDescent="0.2">
      <c r="A53" s="16">
        <f t="shared" si="0"/>
        <v>49</v>
      </c>
      <c r="B53" s="170"/>
      <c r="C53" s="142"/>
      <c r="D53" s="142"/>
      <c r="E53" s="142"/>
      <c r="F53" s="142"/>
      <c r="G53" s="142"/>
      <c r="H53" s="142"/>
      <c r="I53" s="142"/>
      <c r="J53" s="142"/>
      <c r="K53" s="142"/>
      <c r="L53" s="133"/>
    </row>
    <row r="54" spans="1:12" x14ac:dyDescent="0.2">
      <c r="A54" s="16">
        <f t="shared" si="0"/>
        <v>50</v>
      </c>
      <c r="B54" s="170"/>
      <c r="C54" s="142"/>
      <c r="D54" s="142"/>
      <c r="E54" s="142"/>
      <c r="F54" s="142"/>
      <c r="G54" s="142"/>
      <c r="H54" s="142"/>
      <c r="I54" s="142"/>
      <c r="J54" s="142"/>
      <c r="K54" s="142"/>
      <c r="L54" s="133"/>
    </row>
    <row r="55" spans="1:12" x14ac:dyDescent="0.2">
      <c r="A55" s="16">
        <f t="shared" si="0"/>
        <v>51</v>
      </c>
      <c r="B55" s="170"/>
      <c r="C55" s="142"/>
      <c r="D55" s="142"/>
      <c r="E55" s="142"/>
      <c r="F55" s="142"/>
      <c r="G55" s="142"/>
      <c r="H55" s="142"/>
      <c r="I55" s="142"/>
      <c r="J55" s="142"/>
      <c r="K55" s="142"/>
      <c r="L55" s="133"/>
    </row>
    <row r="56" spans="1:12" x14ac:dyDescent="0.2">
      <c r="A56" s="16">
        <f t="shared" si="0"/>
        <v>52</v>
      </c>
      <c r="B56" s="170"/>
      <c r="C56" s="142"/>
      <c r="D56" s="142"/>
      <c r="E56" s="142"/>
      <c r="F56" s="142"/>
      <c r="G56" s="142"/>
      <c r="H56" s="142"/>
      <c r="I56" s="142"/>
      <c r="J56" s="142"/>
      <c r="K56" s="142"/>
      <c r="L56" s="133"/>
    </row>
    <row r="57" spans="1:12" x14ac:dyDescent="0.2">
      <c r="A57" s="16">
        <f t="shared" si="0"/>
        <v>53</v>
      </c>
      <c r="B57" s="170"/>
      <c r="C57" s="142"/>
      <c r="D57" s="142"/>
      <c r="E57" s="142"/>
      <c r="F57" s="142"/>
      <c r="G57" s="142"/>
      <c r="H57" s="142"/>
      <c r="I57" s="142"/>
      <c r="J57" s="142"/>
      <c r="K57" s="142"/>
      <c r="L57" s="133"/>
    </row>
    <row r="58" spans="1:12" x14ac:dyDescent="0.2">
      <c r="A58" s="4"/>
      <c r="B58" s="13"/>
      <c r="C58" s="142"/>
      <c r="D58" s="142"/>
      <c r="E58" s="142" t="s">
        <v>30</v>
      </c>
      <c r="F58" s="142"/>
      <c r="G58" s="142"/>
      <c r="H58" s="142"/>
      <c r="I58" s="142"/>
      <c r="J58" s="142"/>
      <c r="K58" s="142"/>
      <c r="L58" s="133"/>
    </row>
    <row r="59" spans="1:12" x14ac:dyDescent="0.2">
      <c r="A59" s="4"/>
      <c r="B59" s="13"/>
      <c r="C59" s="142"/>
      <c r="D59" s="142"/>
      <c r="E59" s="142"/>
      <c r="F59" s="142"/>
      <c r="G59" s="142"/>
      <c r="H59" s="142"/>
      <c r="I59" s="142"/>
      <c r="J59" s="142"/>
      <c r="K59" s="142"/>
      <c r="L59" s="133"/>
    </row>
    <row r="60" spans="1:12" ht="13.5" thickBot="1" x14ac:dyDescent="0.25">
      <c r="A60" s="5"/>
      <c r="B60" s="15"/>
      <c r="C60" s="144"/>
      <c r="D60" s="144"/>
      <c r="E60" s="144"/>
      <c r="F60" s="144"/>
      <c r="G60" s="144"/>
      <c r="H60" s="144"/>
      <c r="I60" s="144"/>
      <c r="J60" s="144"/>
      <c r="K60" s="144"/>
      <c r="L60" s="145"/>
    </row>
  </sheetData>
  <mergeCells count="53">
    <mergeCell ref="B49:C49"/>
    <mergeCell ref="B50:D50"/>
    <mergeCell ref="B43:C43"/>
    <mergeCell ref="B44:C44"/>
    <mergeCell ref="B45:C45"/>
    <mergeCell ref="B46:C46"/>
    <mergeCell ref="B47:C47"/>
    <mergeCell ref="B39:C39"/>
    <mergeCell ref="B40:C40"/>
    <mergeCell ref="B41:C41"/>
    <mergeCell ref="B42:C42"/>
    <mergeCell ref="B48:C48"/>
    <mergeCell ref="B34:C34"/>
    <mergeCell ref="B35:C35"/>
    <mergeCell ref="B36:C36"/>
    <mergeCell ref="B37:C37"/>
    <mergeCell ref="B38:C38"/>
    <mergeCell ref="B29:C29"/>
    <mergeCell ref="B30:C30"/>
    <mergeCell ref="B31:C31"/>
    <mergeCell ref="B32:C32"/>
    <mergeCell ref="B33:C33"/>
    <mergeCell ref="B24:C24"/>
    <mergeCell ref="B25:C25"/>
    <mergeCell ref="B26:C26"/>
    <mergeCell ref="B27:C27"/>
    <mergeCell ref="B28:C28"/>
    <mergeCell ref="B19:D19"/>
    <mergeCell ref="B20:C20"/>
    <mergeCell ref="B21:C21"/>
    <mergeCell ref="B22:C22"/>
    <mergeCell ref="B23:C23"/>
    <mergeCell ref="B13:C13"/>
    <mergeCell ref="B14:C14"/>
    <mergeCell ref="B15:C15"/>
    <mergeCell ref="B16:C16"/>
    <mergeCell ref="B18:C18"/>
    <mergeCell ref="B17:C17"/>
    <mergeCell ref="C2:L2"/>
    <mergeCell ref="A3:L3"/>
    <mergeCell ref="A4:L4"/>
    <mergeCell ref="B5:C5"/>
    <mergeCell ref="D5:L5"/>
    <mergeCell ref="B6:C6"/>
    <mergeCell ref="D6:L6"/>
    <mergeCell ref="B7:C7"/>
    <mergeCell ref="D7:L7"/>
    <mergeCell ref="B8:C8"/>
    <mergeCell ref="B9:L9"/>
    <mergeCell ref="B10:C10"/>
    <mergeCell ref="B11:C11"/>
    <mergeCell ref="E11:F11"/>
    <mergeCell ref="B12:C12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7"/>
  <sheetViews>
    <sheetView zoomScale="85" workbookViewId="0">
      <selection activeCell="G45" sqref="G45"/>
    </sheetView>
  </sheetViews>
  <sheetFormatPr defaultRowHeight="12.75" x14ac:dyDescent="0.2"/>
  <cols>
    <col min="1" max="1" width="4.7109375" customWidth="1"/>
    <col min="2" max="2" width="40.7109375" customWidth="1"/>
    <col min="3" max="3" width="10.5703125" customWidth="1"/>
    <col min="4" max="13" width="8.7109375" customWidth="1"/>
  </cols>
  <sheetData>
    <row r="1" spans="1:15" x14ac:dyDescent="0.2">
      <c r="A1" s="33" t="s">
        <v>35</v>
      </c>
      <c r="B1" s="30"/>
      <c r="C1" s="206"/>
      <c r="D1" s="206"/>
      <c r="E1" s="206"/>
      <c r="F1" s="206"/>
      <c r="G1" s="206"/>
      <c r="H1" s="206"/>
      <c r="I1" s="206"/>
      <c r="J1" s="206"/>
      <c r="K1" s="207"/>
    </row>
    <row r="2" spans="1:15" ht="13.5" thickBot="1" x14ac:dyDescent="0.25">
      <c r="A2" s="33" t="s">
        <v>36</v>
      </c>
      <c r="B2" s="31"/>
      <c r="C2" s="208"/>
      <c r="D2" s="208"/>
      <c r="E2" s="208"/>
      <c r="F2" s="208"/>
      <c r="G2" s="208"/>
      <c r="H2" s="208"/>
      <c r="I2" s="208"/>
      <c r="J2" s="208"/>
      <c r="K2" s="209"/>
    </row>
    <row r="3" spans="1:15" ht="21" customHeight="1" thickBot="1" x14ac:dyDescent="0.3">
      <c r="A3" s="171" t="s">
        <v>39</v>
      </c>
      <c r="B3" s="172"/>
      <c r="C3" s="172"/>
      <c r="D3" s="204"/>
      <c r="E3" s="204"/>
      <c r="F3" s="172"/>
      <c r="G3" s="172"/>
      <c r="H3" s="172"/>
      <c r="I3" s="172"/>
      <c r="J3" s="172"/>
      <c r="K3" s="173"/>
      <c r="L3" s="2"/>
      <c r="M3" s="1"/>
      <c r="N3" s="1"/>
      <c r="O3" s="1"/>
    </row>
    <row r="4" spans="1:15" x14ac:dyDescent="0.2">
      <c r="A4" s="16">
        <v>1</v>
      </c>
      <c r="B4" s="7" t="s">
        <v>5</v>
      </c>
      <c r="C4" s="120"/>
      <c r="D4" s="160"/>
      <c r="E4" s="161"/>
      <c r="F4" s="122"/>
      <c r="G4" s="123"/>
      <c r="H4" s="123"/>
      <c r="I4" s="124"/>
      <c r="J4" s="124"/>
      <c r="K4" s="125"/>
      <c r="L4" s="1"/>
      <c r="M4" s="1"/>
      <c r="N4" s="1"/>
      <c r="O4" s="1"/>
    </row>
    <row r="5" spans="1:15" x14ac:dyDescent="0.2">
      <c r="A5" s="16">
        <f>A4+1</f>
        <v>2</v>
      </c>
      <c r="B5" s="7" t="s">
        <v>40</v>
      </c>
      <c r="C5" s="126"/>
      <c r="D5" s="158"/>
      <c r="E5" s="162"/>
      <c r="F5" s="129"/>
      <c r="G5" s="130"/>
      <c r="H5" s="130"/>
      <c r="I5" s="131"/>
      <c r="J5" s="131"/>
      <c r="K5" s="132"/>
      <c r="L5" s="1"/>
      <c r="M5" s="1"/>
      <c r="N5" s="1"/>
      <c r="O5" s="1"/>
    </row>
    <row r="6" spans="1:15" x14ac:dyDescent="0.2">
      <c r="A6" s="16">
        <f>A5+1</f>
        <v>3</v>
      </c>
      <c r="B6" s="7" t="s">
        <v>55</v>
      </c>
      <c r="C6" s="89"/>
      <c r="D6" s="79"/>
      <c r="E6" s="84"/>
      <c r="F6" s="24"/>
      <c r="G6" s="21"/>
      <c r="H6" s="21"/>
      <c r="I6" s="22"/>
      <c r="J6" s="22"/>
      <c r="K6" s="64"/>
      <c r="L6" s="1"/>
      <c r="M6" s="1"/>
      <c r="N6" s="1"/>
      <c r="O6" s="1"/>
    </row>
    <row r="7" spans="1:15" x14ac:dyDescent="0.2">
      <c r="A7" s="16">
        <f>A6+1</f>
        <v>4</v>
      </c>
      <c r="B7" s="7" t="s">
        <v>41</v>
      </c>
      <c r="C7" s="4"/>
      <c r="D7" s="79"/>
      <c r="E7" s="84"/>
      <c r="F7" s="24"/>
      <c r="G7" s="21"/>
      <c r="H7" s="21"/>
      <c r="I7" s="22"/>
      <c r="J7" s="22"/>
      <c r="K7" s="64"/>
      <c r="L7" s="1"/>
      <c r="M7" s="1"/>
      <c r="N7" s="1"/>
      <c r="O7" s="1"/>
    </row>
    <row r="8" spans="1:15" x14ac:dyDescent="0.2">
      <c r="A8" s="16">
        <f t="shared" ref="A8:A34" si="0">A7+1</f>
        <v>5</v>
      </c>
      <c r="B8" s="7" t="s">
        <v>42</v>
      </c>
      <c r="C8" s="89"/>
      <c r="D8" s="79"/>
      <c r="E8" s="84"/>
      <c r="F8" s="24"/>
      <c r="G8" s="21"/>
      <c r="H8" s="21"/>
      <c r="I8" s="22"/>
      <c r="J8" s="22"/>
      <c r="K8" s="64"/>
      <c r="L8" s="1"/>
      <c r="M8" s="1"/>
      <c r="N8" s="1"/>
      <c r="O8" s="1"/>
    </row>
    <row r="9" spans="1:15" x14ac:dyDescent="0.2">
      <c r="A9" s="16">
        <f t="shared" si="0"/>
        <v>6</v>
      </c>
      <c r="B9" s="7" t="s">
        <v>43</v>
      </c>
      <c r="C9" s="4"/>
      <c r="D9" s="79"/>
      <c r="E9" s="84"/>
      <c r="F9" s="24"/>
      <c r="G9" s="21"/>
      <c r="H9" s="21"/>
      <c r="I9" s="22"/>
      <c r="J9" s="22"/>
      <c r="K9" s="64"/>
      <c r="L9" s="1"/>
      <c r="M9" s="1"/>
      <c r="N9" s="1"/>
      <c r="O9" s="1"/>
    </row>
    <row r="10" spans="1:15" x14ac:dyDescent="0.2">
      <c r="A10" s="16">
        <f t="shared" si="0"/>
        <v>7</v>
      </c>
      <c r="B10" s="7" t="s">
        <v>44</v>
      </c>
      <c r="C10" s="157"/>
      <c r="D10" s="158"/>
      <c r="E10" s="162"/>
      <c r="F10" s="129"/>
      <c r="G10" s="130"/>
      <c r="H10" s="130"/>
      <c r="I10" s="131"/>
      <c r="J10" s="131"/>
      <c r="K10" s="132"/>
      <c r="L10" s="1"/>
      <c r="M10" s="1"/>
      <c r="N10" s="1"/>
      <c r="O10" s="1"/>
    </row>
    <row r="11" spans="1:15" x14ac:dyDescent="0.2">
      <c r="A11" s="16">
        <f t="shared" si="0"/>
        <v>8</v>
      </c>
      <c r="B11" s="7" t="s">
        <v>46</v>
      </c>
      <c r="C11" s="89"/>
      <c r="D11" s="79"/>
      <c r="E11" s="84"/>
      <c r="F11" s="24"/>
      <c r="G11" s="21"/>
      <c r="H11" s="21"/>
      <c r="I11" s="22"/>
      <c r="J11" s="22"/>
      <c r="K11" s="64"/>
      <c r="L11" s="1"/>
      <c r="M11" s="1"/>
      <c r="N11" s="1"/>
      <c r="O11" s="1"/>
    </row>
    <row r="12" spans="1:15" x14ac:dyDescent="0.2">
      <c r="A12" s="16">
        <f t="shared" si="0"/>
        <v>9</v>
      </c>
      <c r="B12" s="27" t="s">
        <v>47</v>
      </c>
      <c r="C12" s="89"/>
      <c r="D12" s="79"/>
      <c r="E12" s="163"/>
      <c r="F12" s="76"/>
      <c r="G12" s="22"/>
      <c r="H12" s="22"/>
      <c r="I12" s="22"/>
      <c r="J12" s="22"/>
      <c r="K12" s="48"/>
    </row>
    <row r="13" spans="1:15" x14ac:dyDescent="0.2">
      <c r="A13" s="16">
        <f t="shared" si="0"/>
        <v>10</v>
      </c>
      <c r="B13" s="26" t="s">
        <v>45</v>
      </c>
      <c r="C13" s="89"/>
      <c r="D13" s="79"/>
      <c r="E13" s="84"/>
      <c r="F13" s="24"/>
      <c r="G13" s="21"/>
      <c r="H13" s="21"/>
      <c r="I13" s="22"/>
      <c r="J13" s="22"/>
      <c r="K13" s="64"/>
      <c r="L13" s="1"/>
      <c r="M13" s="1"/>
      <c r="N13" s="1"/>
      <c r="O13" s="1"/>
    </row>
    <row r="14" spans="1:15" x14ac:dyDescent="0.2">
      <c r="A14" s="16">
        <f t="shared" si="0"/>
        <v>11</v>
      </c>
      <c r="B14" s="13" t="s">
        <v>175</v>
      </c>
      <c r="C14" s="89"/>
      <c r="D14" s="79"/>
      <c r="E14" s="84"/>
      <c r="F14" s="24"/>
      <c r="G14" s="22"/>
      <c r="H14" s="22"/>
      <c r="I14" s="22"/>
      <c r="J14" s="22"/>
      <c r="K14" s="64"/>
      <c r="L14" s="1"/>
      <c r="M14" s="1"/>
    </row>
    <row r="15" spans="1:15" x14ac:dyDescent="0.2">
      <c r="A15" s="16">
        <f t="shared" si="0"/>
        <v>12</v>
      </c>
      <c r="B15" s="159" t="s">
        <v>176</v>
      </c>
      <c r="C15" s="89"/>
      <c r="D15" s="79"/>
      <c r="E15" s="84"/>
      <c r="F15" s="76"/>
      <c r="G15" s="22"/>
      <c r="H15" s="22"/>
      <c r="I15" s="17"/>
      <c r="J15" s="17"/>
      <c r="K15" s="48"/>
    </row>
    <row r="16" spans="1:15" x14ac:dyDescent="0.2">
      <c r="A16" s="16">
        <f t="shared" si="0"/>
        <v>13</v>
      </c>
      <c r="B16" s="7" t="s">
        <v>48</v>
      </c>
      <c r="C16" s="89"/>
      <c r="D16" s="79"/>
      <c r="E16" s="84"/>
      <c r="F16" s="24"/>
      <c r="G16" s="21"/>
      <c r="H16" s="21"/>
      <c r="I16" s="22"/>
      <c r="J16" s="22"/>
      <c r="K16" s="64"/>
      <c r="L16" s="1"/>
      <c r="M16" s="1"/>
      <c r="N16" s="1"/>
      <c r="O16" s="1"/>
    </row>
    <row r="17" spans="1:21" x14ac:dyDescent="0.2">
      <c r="A17" s="16">
        <f t="shared" si="0"/>
        <v>14</v>
      </c>
      <c r="B17" s="28" t="s">
        <v>49</v>
      </c>
      <c r="C17" s="89"/>
      <c r="D17" s="79"/>
      <c r="E17" s="163"/>
      <c r="F17" s="76"/>
      <c r="G17" s="22"/>
      <c r="H17" s="22"/>
      <c r="I17" s="22"/>
      <c r="J17" s="17"/>
      <c r="K17" s="48"/>
    </row>
    <row r="18" spans="1:21" x14ac:dyDescent="0.2">
      <c r="A18" s="16">
        <f t="shared" si="0"/>
        <v>15</v>
      </c>
      <c r="B18" s="7" t="s">
        <v>16</v>
      </c>
      <c r="C18" s="4"/>
      <c r="D18" s="79"/>
      <c r="E18" s="84"/>
      <c r="F18" s="24"/>
      <c r="G18" s="21"/>
      <c r="H18" s="21"/>
      <c r="I18" s="22"/>
      <c r="J18" s="22"/>
      <c r="K18" s="64"/>
      <c r="L18" s="1"/>
      <c r="M18" s="1"/>
      <c r="N18" s="1"/>
      <c r="O18" s="1"/>
    </row>
    <row r="19" spans="1:21" x14ac:dyDescent="0.2">
      <c r="A19" s="16">
        <f t="shared" si="0"/>
        <v>16</v>
      </c>
      <c r="B19" s="7" t="s">
        <v>50</v>
      </c>
      <c r="C19" s="89"/>
      <c r="D19" s="79"/>
      <c r="E19" s="84"/>
      <c r="F19" s="24"/>
      <c r="G19" s="21"/>
      <c r="H19" s="21"/>
      <c r="I19" s="22"/>
      <c r="J19" s="22"/>
      <c r="K19" s="64"/>
      <c r="L19" s="1"/>
      <c r="M19" s="1"/>
      <c r="N19" s="1"/>
      <c r="O19" s="1"/>
    </row>
    <row r="20" spans="1:21" x14ac:dyDescent="0.2">
      <c r="A20" s="16">
        <f t="shared" si="0"/>
        <v>17</v>
      </c>
      <c r="B20" s="7" t="s">
        <v>68</v>
      </c>
      <c r="C20" s="89"/>
      <c r="D20" s="79"/>
      <c r="E20" s="84"/>
      <c r="F20" s="24"/>
      <c r="G20" s="21"/>
      <c r="H20" s="21"/>
      <c r="I20" s="22"/>
      <c r="J20" s="22"/>
      <c r="K20" s="64"/>
      <c r="L20" s="1"/>
      <c r="M20" s="1"/>
      <c r="N20" s="1"/>
      <c r="O20" s="1"/>
    </row>
    <row r="21" spans="1:21" x14ac:dyDescent="0.2">
      <c r="A21" s="16">
        <f t="shared" si="0"/>
        <v>18</v>
      </c>
      <c r="B21" s="7" t="s">
        <v>51</v>
      </c>
      <c r="C21" s="126"/>
      <c r="D21" s="158"/>
      <c r="E21" s="162"/>
      <c r="F21" s="127"/>
      <c r="G21" s="130"/>
      <c r="H21" s="130"/>
      <c r="I21" s="130"/>
      <c r="J21" s="131"/>
      <c r="K21" s="132"/>
      <c r="L21" s="22"/>
      <c r="M21" s="22"/>
      <c r="N21" s="22"/>
      <c r="O21" s="22"/>
      <c r="P21" s="22"/>
      <c r="Q21" s="17"/>
      <c r="R21" s="17"/>
      <c r="S21" s="17"/>
      <c r="T21" s="17"/>
      <c r="U21" s="17"/>
    </row>
    <row r="22" spans="1:21" ht="13.5" thickBot="1" x14ac:dyDescent="0.25">
      <c r="A22" s="16">
        <f t="shared" si="0"/>
        <v>19</v>
      </c>
      <c r="B22" s="7" t="s">
        <v>52</v>
      </c>
      <c r="C22" s="134"/>
      <c r="D22" s="164"/>
      <c r="E22" s="165"/>
      <c r="F22" s="137"/>
      <c r="G22" s="138"/>
      <c r="H22" s="138"/>
      <c r="I22" s="139"/>
      <c r="J22" s="139"/>
      <c r="K22" s="140"/>
      <c r="L22" s="1"/>
      <c r="M22" s="1"/>
      <c r="N22" s="1"/>
      <c r="O22" s="1"/>
    </row>
    <row r="23" spans="1:21" ht="16.5" thickBot="1" x14ac:dyDescent="0.3">
      <c r="A23" s="16">
        <f t="shared" si="0"/>
        <v>20</v>
      </c>
      <c r="B23" s="9" t="s">
        <v>53</v>
      </c>
      <c r="C23" s="10"/>
      <c r="D23" s="18"/>
      <c r="E23" s="18"/>
      <c r="F23" s="10"/>
      <c r="G23" s="10"/>
      <c r="H23" s="10"/>
      <c r="I23" s="10"/>
      <c r="J23" s="10"/>
      <c r="K23" s="11"/>
      <c r="L23" s="1"/>
      <c r="M23" s="1"/>
      <c r="N23" s="1"/>
      <c r="O23" s="1"/>
    </row>
    <row r="24" spans="1:21" x14ac:dyDescent="0.2">
      <c r="A24" s="16">
        <f t="shared" si="0"/>
        <v>21</v>
      </c>
      <c r="B24" s="6" t="s">
        <v>54</v>
      </c>
      <c r="C24" s="93"/>
      <c r="D24" s="103"/>
      <c r="E24" s="103"/>
      <c r="F24" s="23"/>
      <c r="G24" s="75"/>
      <c r="H24" s="75"/>
      <c r="I24" s="19"/>
      <c r="J24" s="19"/>
      <c r="K24" s="58"/>
    </row>
    <row r="25" spans="1:21" x14ac:dyDescent="0.2">
      <c r="A25" s="16">
        <f t="shared" si="0"/>
        <v>22</v>
      </c>
      <c r="B25" s="7" t="s">
        <v>56</v>
      </c>
      <c r="C25" s="89"/>
      <c r="D25" s="81"/>
      <c r="E25" s="81"/>
      <c r="F25" s="24"/>
      <c r="G25" s="21"/>
      <c r="H25" s="21"/>
      <c r="I25" s="17"/>
      <c r="J25" s="17"/>
      <c r="K25" s="48"/>
    </row>
    <row r="26" spans="1:21" x14ac:dyDescent="0.2">
      <c r="A26" s="16">
        <f t="shared" si="0"/>
        <v>23</v>
      </c>
      <c r="B26" s="7" t="s">
        <v>57</v>
      </c>
      <c r="C26" s="77"/>
      <c r="D26" s="81"/>
      <c r="E26" s="81"/>
      <c r="F26" s="24"/>
      <c r="G26" s="21"/>
      <c r="H26" s="21"/>
      <c r="I26" s="17"/>
      <c r="J26" s="17"/>
      <c r="K26" s="48"/>
    </row>
    <row r="27" spans="1:21" x14ac:dyDescent="0.2">
      <c r="A27" s="16">
        <f t="shared" si="0"/>
        <v>24</v>
      </c>
      <c r="B27" s="28" t="s">
        <v>58</v>
      </c>
      <c r="C27" s="89"/>
      <c r="D27" s="81"/>
      <c r="E27" s="81"/>
      <c r="F27" s="13"/>
      <c r="G27" s="17"/>
      <c r="H27" s="17"/>
      <c r="I27" s="17"/>
      <c r="J27" s="17"/>
      <c r="K27" s="48"/>
    </row>
    <row r="28" spans="1:21" x14ac:dyDescent="0.2">
      <c r="A28" s="16">
        <f t="shared" si="0"/>
        <v>25</v>
      </c>
      <c r="B28" s="7" t="s">
        <v>59</v>
      </c>
      <c r="C28" s="141"/>
      <c r="D28" s="147"/>
      <c r="E28" s="147"/>
      <c r="F28" s="129"/>
      <c r="G28" s="130"/>
      <c r="H28" s="130"/>
      <c r="I28" s="142"/>
      <c r="J28" s="142"/>
      <c r="K28" s="133"/>
    </row>
    <row r="29" spans="1:21" x14ac:dyDescent="0.2">
      <c r="A29" s="16">
        <f t="shared" si="0"/>
        <v>26</v>
      </c>
      <c r="B29" s="7" t="s">
        <v>60</v>
      </c>
      <c r="C29" s="141"/>
      <c r="D29" s="147"/>
      <c r="E29" s="147"/>
      <c r="F29" s="129"/>
      <c r="G29" s="130"/>
      <c r="H29" s="130"/>
      <c r="I29" s="142"/>
      <c r="J29" s="142"/>
      <c r="K29" s="133"/>
    </row>
    <row r="30" spans="1:21" x14ac:dyDescent="0.2">
      <c r="A30" s="16">
        <f t="shared" si="0"/>
        <v>27</v>
      </c>
      <c r="B30" s="7" t="s">
        <v>61</v>
      </c>
      <c r="C30" s="77"/>
      <c r="D30" s="81"/>
      <c r="E30" s="81"/>
      <c r="F30" s="24"/>
      <c r="G30" s="21"/>
      <c r="H30" s="21"/>
      <c r="I30" s="17"/>
      <c r="J30" s="17"/>
      <c r="K30" s="48"/>
    </row>
    <row r="31" spans="1:21" x14ac:dyDescent="0.2">
      <c r="A31" s="16">
        <f t="shared" si="0"/>
        <v>28</v>
      </c>
      <c r="B31" s="7" t="s">
        <v>62</v>
      </c>
      <c r="C31" s="77"/>
      <c r="D31" s="81"/>
      <c r="E31" s="81"/>
      <c r="F31" s="24"/>
      <c r="G31" s="21"/>
      <c r="H31" s="21"/>
      <c r="I31" s="17"/>
      <c r="J31" s="17"/>
      <c r="K31" s="48"/>
    </row>
    <row r="32" spans="1:21" x14ac:dyDescent="0.2">
      <c r="A32" s="16">
        <f t="shared" si="0"/>
        <v>29</v>
      </c>
      <c r="B32" s="7" t="s">
        <v>63</v>
      </c>
      <c r="C32" s="77"/>
      <c r="D32" s="81"/>
      <c r="E32" s="81"/>
      <c r="F32" s="24"/>
      <c r="G32" s="21"/>
      <c r="H32" s="21"/>
      <c r="I32" s="17"/>
      <c r="J32" s="17"/>
      <c r="K32" s="48"/>
    </row>
    <row r="33" spans="1:12" x14ac:dyDescent="0.2">
      <c r="A33" s="16">
        <f t="shared" si="0"/>
        <v>30</v>
      </c>
      <c r="B33" s="7" t="s">
        <v>64</v>
      </c>
      <c r="C33" s="77"/>
      <c r="D33" s="81"/>
      <c r="E33" s="81"/>
      <c r="F33" s="24"/>
      <c r="G33" s="21"/>
      <c r="H33" s="21"/>
      <c r="I33" s="17"/>
      <c r="J33" s="17"/>
      <c r="K33" s="48"/>
    </row>
    <row r="34" spans="1:12" x14ac:dyDescent="0.2">
      <c r="A34" s="16">
        <f t="shared" si="0"/>
        <v>31</v>
      </c>
      <c r="B34" s="7" t="s">
        <v>65</v>
      </c>
      <c r="C34" s="77"/>
      <c r="D34" s="81"/>
      <c r="E34" s="81"/>
      <c r="F34" s="24"/>
      <c r="G34" s="21"/>
      <c r="H34" s="21"/>
      <c r="I34" s="17"/>
      <c r="J34" s="17"/>
      <c r="K34" s="48"/>
    </row>
    <row r="35" spans="1:12" ht="13.5" thickBot="1" x14ac:dyDescent="0.25">
      <c r="A35" s="16">
        <f>A34+1</f>
        <v>32</v>
      </c>
      <c r="B35" s="7" t="s">
        <v>66</v>
      </c>
      <c r="C35" s="94"/>
      <c r="D35" s="80"/>
      <c r="E35" s="80"/>
      <c r="F35" s="25"/>
      <c r="G35" s="74"/>
      <c r="H35" s="74"/>
      <c r="I35" s="73"/>
      <c r="J35" s="73"/>
      <c r="K35" s="49"/>
    </row>
    <row r="36" spans="1:12" ht="16.5" thickBot="1" x14ac:dyDescent="0.3">
      <c r="A36" s="16">
        <f t="shared" ref="A36:A54" si="1">A35+1</f>
        <v>33</v>
      </c>
      <c r="B36" s="9" t="s">
        <v>67</v>
      </c>
      <c r="C36" s="32"/>
      <c r="D36" s="12"/>
      <c r="E36" s="12"/>
      <c r="F36" s="12"/>
      <c r="G36" s="12"/>
      <c r="H36" s="12"/>
      <c r="I36" s="12"/>
      <c r="J36" s="12"/>
      <c r="K36" s="11"/>
      <c r="L36" s="3"/>
    </row>
    <row r="37" spans="1:12" x14ac:dyDescent="0.2">
      <c r="A37" s="16">
        <f t="shared" si="1"/>
        <v>34</v>
      </c>
      <c r="B37" s="95" t="s">
        <v>32</v>
      </c>
      <c r="C37" s="96"/>
      <c r="D37" s="205" t="s">
        <v>69</v>
      </c>
      <c r="E37" s="205"/>
      <c r="F37" s="205"/>
      <c r="G37" s="205"/>
      <c r="H37" s="29" t="s">
        <v>70</v>
      </c>
      <c r="I37" s="91"/>
      <c r="J37" s="29"/>
      <c r="K37" s="92"/>
    </row>
    <row r="38" spans="1:12" x14ac:dyDescent="0.2">
      <c r="A38" s="16">
        <f t="shared" si="1"/>
        <v>35</v>
      </c>
      <c r="B38" s="7" t="s">
        <v>71</v>
      </c>
      <c r="C38" s="89"/>
      <c r="D38" s="21"/>
      <c r="E38" s="21"/>
      <c r="F38" s="21"/>
      <c r="G38" s="21"/>
      <c r="H38" s="21" t="s">
        <v>73</v>
      </c>
      <c r="I38" s="81"/>
      <c r="J38" s="17"/>
      <c r="K38" s="48"/>
    </row>
    <row r="39" spans="1:12" x14ac:dyDescent="0.2">
      <c r="A39" s="16">
        <f t="shared" si="1"/>
        <v>36</v>
      </c>
      <c r="B39" s="7" t="s">
        <v>72</v>
      </c>
      <c r="C39" s="89"/>
      <c r="D39" s="81"/>
      <c r="E39" s="21"/>
      <c r="F39" s="21"/>
      <c r="G39" s="21"/>
      <c r="H39" s="21"/>
      <c r="I39" s="17"/>
      <c r="J39" s="17"/>
      <c r="K39" s="48"/>
    </row>
    <row r="40" spans="1:12" x14ac:dyDescent="0.2">
      <c r="A40" s="16">
        <f t="shared" si="1"/>
        <v>37</v>
      </c>
      <c r="B40" s="7"/>
      <c r="C40" s="141"/>
      <c r="D40" s="130"/>
      <c r="E40" s="130"/>
      <c r="F40" s="130"/>
      <c r="G40" s="130"/>
      <c r="H40" s="130"/>
      <c r="I40" s="142"/>
      <c r="J40" s="142"/>
      <c r="K40" s="133"/>
    </row>
    <row r="41" spans="1:12" x14ac:dyDescent="0.2">
      <c r="A41" s="16">
        <f t="shared" si="1"/>
        <v>38</v>
      </c>
      <c r="B41" s="7"/>
      <c r="C41" s="141"/>
      <c r="D41" s="130"/>
      <c r="E41" s="130"/>
      <c r="F41" s="130"/>
      <c r="G41" s="130"/>
      <c r="H41" s="130"/>
      <c r="I41" s="142"/>
      <c r="J41" s="142"/>
      <c r="K41" s="133"/>
    </row>
    <row r="42" spans="1:12" x14ac:dyDescent="0.2">
      <c r="A42" s="16">
        <f t="shared" si="1"/>
        <v>39</v>
      </c>
      <c r="B42" s="7"/>
      <c r="C42" s="141"/>
      <c r="D42" s="130"/>
      <c r="E42" s="130"/>
      <c r="F42" s="130"/>
      <c r="G42" s="130"/>
      <c r="H42" s="130"/>
      <c r="I42" s="142"/>
      <c r="J42" s="142"/>
      <c r="K42" s="133"/>
    </row>
    <row r="43" spans="1:12" x14ac:dyDescent="0.2">
      <c r="A43" s="16">
        <f t="shared" si="1"/>
        <v>40</v>
      </c>
      <c r="B43" s="7"/>
      <c r="C43" s="141"/>
      <c r="D43" s="130"/>
      <c r="E43" s="130"/>
      <c r="F43" s="130"/>
      <c r="G43" s="130"/>
      <c r="H43" s="130"/>
      <c r="I43" s="142"/>
      <c r="J43" s="142"/>
      <c r="K43" s="133"/>
    </row>
    <row r="44" spans="1:12" x14ac:dyDescent="0.2">
      <c r="A44" s="16">
        <f t="shared" si="1"/>
        <v>41</v>
      </c>
      <c r="B44" s="7"/>
      <c r="C44" s="141"/>
      <c r="D44" s="130"/>
      <c r="E44" s="130"/>
      <c r="F44" s="130"/>
      <c r="G44" s="130"/>
      <c r="H44" s="130"/>
      <c r="I44" s="142"/>
      <c r="J44" s="142"/>
      <c r="K44" s="133"/>
    </row>
    <row r="45" spans="1:12" x14ac:dyDescent="0.2">
      <c r="A45" s="16">
        <f t="shared" si="1"/>
        <v>42</v>
      </c>
      <c r="B45" s="7"/>
      <c r="C45" s="141"/>
      <c r="D45" s="130"/>
      <c r="E45" s="130"/>
      <c r="F45" s="130"/>
      <c r="G45" s="130"/>
      <c r="H45" s="130"/>
      <c r="I45" s="142"/>
      <c r="J45" s="142"/>
      <c r="K45" s="133"/>
    </row>
    <row r="46" spans="1:12" ht="13.5" thickBot="1" x14ac:dyDescent="0.25">
      <c r="A46" s="16">
        <f t="shared" si="1"/>
        <v>43</v>
      </c>
      <c r="B46" s="8"/>
      <c r="C46" s="143"/>
      <c r="D46" s="138"/>
      <c r="E46" s="138"/>
      <c r="F46" s="138"/>
      <c r="G46" s="138"/>
      <c r="H46" s="138"/>
      <c r="I46" s="144"/>
      <c r="J46" s="144"/>
      <c r="K46" s="145"/>
    </row>
    <row r="47" spans="1:12" ht="16.5" thickBot="1" x14ac:dyDescent="0.3">
      <c r="A47" s="16">
        <f t="shared" si="1"/>
        <v>44</v>
      </c>
      <c r="B47" s="9" t="s">
        <v>3</v>
      </c>
      <c r="C47" s="12"/>
      <c r="D47" s="12"/>
      <c r="E47" s="12"/>
      <c r="F47" s="97"/>
      <c r="G47" s="97"/>
      <c r="H47" s="97"/>
      <c r="I47" s="59"/>
      <c r="J47" s="59"/>
      <c r="K47" s="60"/>
    </row>
    <row r="48" spans="1:12" x14ac:dyDescent="0.2">
      <c r="A48" s="16">
        <f t="shared" si="1"/>
        <v>45</v>
      </c>
      <c r="B48" s="127"/>
      <c r="C48" s="142"/>
      <c r="D48" s="142"/>
      <c r="E48" s="142"/>
      <c r="F48" s="142"/>
      <c r="G48" s="142"/>
      <c r="H48" s="142"/>
      <c r="I48" s="142"/>
      <c r="J48" s="142"/>
      <c r="K48" s="133"/>
    </row>
    <row r="49" spans="1:11" x14ac:dyDescent="0.2">
      <c r="A49" s="16">
        <f t="shared" si="1"/>
        <v>46</v>
      </c>
      <c r="B49" s="127"/>
      <c r="C49" s="142"/>
      <c r="D49" s="142"/>
      <c r="E49" s="142"/>
      <c r="F49" s="142"/>
      <c r="G49" s="142"/>
      <c r="H49" s="142"/>
      <c r="I49" s="142"/>
      <c r="J49" s="142"/>
      <c r="K49" s="133"/>
    </row>
    <row r="50" spans="1:11" x14ac:dyDescent="0.2">
      <c r="A50" s="16">
        <f t="shared" si="1"/>
        <v>47</v>
      </c>
      <c r="B50" s="127"/>
      <c r="C50" s="142"/>
      <c r="D50" s="142"/>
      <c r="E50" s="142"/>
      <c r="F50" s="142"/>
      <c r="G50" s="142"/>
      <c r="H50" s="142"/>
      <c r="I50" s="142"/>
      <c r="J50" s="142"/>
      <c r="K50" s="133"/>
    </row>
    <row r="51" spans="1:11" x14ac:dyDescent="0.2">
      <c r="A51" s="16">
        <f t="shared" si="1"/>
        <v>48</v>
      </c>
      <c r="B51" s="127"/>
      <c r="C51" s="142"/>
      <c r="D51" s="142"/>
      <c r="E51" s="142"/>
      <c r="F51" s="142"/>
      <c r="G51" s="142"/>
      <c r="H51" s="142"/>
      <c r="I51" s="142"/>
      <c r="J51" s="142"/>
      <c r="K51" s="133"/>
    </row>
    <row r="52" spans="1:11" x14ac:dyDescent="0.2">
      <c r="A52" s="16">
        <f t="shared" si="1"/>
        <v>49</v>
      </c>
      <c r="B52" s="127"/>
      <c r="C52" s="142"/>
      <c r="D52" s="142"/>
      <c r="E52" s="142"/>
      <c r="F52" s="142"/>
      <c r="G52" s="142"/>
      <c r="H52" s="142"/>
      <c r="I52" s="142"/>
      <c r="J52" s="142"/>
      <c r="K52" s="133"/>
    </row>
    <row r="53" spans="1:11" x14ac:dyDescent="0.2">
      <c r="A53" s="16">
        <f t="shared" si="1"/>
        <v>50</v>
      </c>
      <c r="B53" s="127"/>
      <c r="C53" s="142"/>
      <c r="D53" s="142"/>
      <c r="E53" s="142"/>
      <c r="F53" s="142"/>
      <c r="G53" s="142"/>
      <c r="H53" s="142"/>
      <c r="I53" s="142"/>
      <c r="J53" s="142"/>
      <c r="K53" s="133"/>
    </row>
    <row r="54" spans="1:11" x14ac:dyDescent="0.2">
      <c r="A54" s="16">
        <f t="shared" si="1"/>
        <v>51</v>
      </c>
      <c r="B54" s="127"/>
      <c r="C54" s="142"/>
      <c r="D54" s="142"/>
      <c r="E54" s="142"/>
      <c r="F54" s="142"/>
      <c r="G54" s="142"/>
      <c r="H54" s="142"/>
      <c r="I54" s="142"/>
      <c r="J54" s="142"/>
      <c r="K54" s="133"/>
    </row>
    <row r="55" spans="1:11" x14ac:dyDescent="0.2">
      <c r="A55" s="4"/>
      <c r="B55" s="127"/>
      <c r="C55" s="142"/>
      <c r="D55" s="142" t="s">
        <v>30</v>
      </c>
      <c r="E55" s="142"/>
      <c r="F55" s="142"/>
      <c r="G55" s="142"/>
      <c r="H55" s="142"/>
      <c r="I55" s="142"/>
      <c r="J55" s="142"/>
      <c r="K55" s="133"/>
    </row>
    <row r="56" spans="1:11" x14ac:dyDescent="0.2">
      <c r="A56" s="4"/>
      <c r="B56" s="127"/>
      <c r="C56" s="142"/>
      <c r="D56" s="142"/>
      <c r="E56" s="142"/>
      <c r="F56" s="142"/>
      <c r="G56" s="142"/>
      <c r="H56" s="142"/>
      <c r="I56" s="142"/>
      <c r="J56" s="142"/>
      <c r="K56" s="133"/>
    </row>
    <row r="57" spans="1:11" ht="13.5" thickBot="1" x14ac:dyDescent="0.25">
      <c r="A57" s="5"/>
      <c r="B57" s="135"/>
      <c r="C57" s="144"/>
      <c r="D57" s="144"/>
      <c r="E57" s="144"/>
      <c r="F57" s="144"/>
      <c r="G57" s="144"/>
      <c r="H57" s="144"/>
      <c r="I57" s="144"/>
      <c r="J57" s="144"/>
      <c r="K57" s="145"/>
    </row>
  </sheetData>
  <mergeCells count="4">
    <mergeCell ref="A3:K3"/>
    <mergeCell ref="D37:G37"/>
    <mergeCell ref="C1:K1"/>
    <mergeCell ref="C2:K2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68"/>
  <sheetViews>
    <sheetView zoomScale="75" workbookViewId="0">
      <selection activeCell="E25" sqref="E25"/>
    </sheetView>
  </sheetViews>
  <sheetFormatPr defaultRowHeight="12.75" x14ac:dyDescent="0.2"/>
  <cols>
    <col min="1" max="1" width="4.7109375" customWidth="1"/>
    <col min="2" max="2" width="49" customWidth="1"/>
    <col min="3" max="3" width="7.7109375" customWidth="1"/>
    <col min="4" max="9" width="18.7109375" customWidth="1"/>
    <col min="10" max="11" width="8.7109375" customWidth="1"/>
  </cols>
  <sheetData>
    <row r="1" spans="1:13" x14ac:dyDescent="0.2">
      <c r="A1" s="33" t="s">
        <v>35</v>
      </c>
      <c r="B1" s="30"/>
      <c r="C1" s="206"/>
      <c r="D1" s="206"/>
      <c r="E1" s="206"/>
      <c r="F1" s="206"/>
      <c r="G1" s="206"/>
      <c r="H1" s="206"/>
      <c r="I1" s="207"/>
    </row>
    <row r="2" spans="1:13" ht="13.5" thickBot="1" x14ac:dyDescent="0.25">
      <c r="A2" s="33" t="s">
        <v>36</v>
      </c>
      <c r="B2" s="31"/>
      <c r="C2" s="208"/>
      <c r="D2" s="208"/>
      <c r="E2" s="208"/>
      <c r="F2" s="208"/>
      <c r="G2" s="208"/>
      <c r="H2" s="208"/>
      <c r="I2" s="209"/>
    </row>
    <row r="3" spans="1:13" ht="21" customHeight="1" thickBot="1" x14ac:dyDescent="0.3">
      <c r="A3" s="171" t="s">
        <v>74</v>
      </c>
      <c r="B3" s="172"/>
      <c r="C3" s="172"/>
      <c r="D3" s="172"/>
      <c r="E3" s="172"/>
      <c r="F3" s="172"/>
      <c r="G3" s="172"/>
      <c r="H3" s="172"/>
      <c r="I3" s="173"/>
      <c r="J3" s="2"/>
      <c r="K3" s="1"/>
      <c r="L3" s="1"/>
      <c r="M3" s="1"/>
    </row>
    <row r="4" spans="1:13" ht="15.75" customHeight="1" x14ac:dyDescent="0.2">
      <c r="A4" s="61"/>
      <c r="B4" s="35" t="s">
        <v>75</v>
      </c>
      <c r="C4" s="211"/>
      <c r="D4" s="211"/>
      <c r="E4" s="35" t="s">
        <v>76</v>
      </c>
      <c r="F4" s="210"/>
      <c r="G4" s="210"/>
      <c r="H4" s="210"/>
      <c r="I4" s="210"/>
      <c r="J4" s="1"/>
      <c r="K4" s="1"/>
      <c r="L4" s="1"/>
      <c r="M4" s="1"/>
    </row>
    <row r="5" spans="1:13" ht="15.75" customHeight="1" x14ac:dyDescent="0.2">
      <c r="A5" s="4"/>
      <c r="B5" s="35" t="s">
        <v>77</v>
      </c>
      <c r="C5" s="210"/>
      <c r="D5" s="210"/>
      <c r="E5" s="35" t="s">
        <v>78</v>
      </c>
      <c r="F5" s="212"/>
      <c r="G5" s="212"/>
      <c r="H5" s="212"/>
      <c r="I5" s="212"/>
      <c r="J5" s="1"/>
      <c r="K5" s="1"/>
      <c r="L5" s="1"/>
      <c r="M5" s="1"/>
    </row>
    <row r="6" spans="1:13" x14ac:dyDescent="0.2">
      <c r="A6" s="4"/>
      <c r="B6" s="35" t="s">
        <v>79</v>
      </c>
      <c r="C6" s="210"/>
      <c r="D6" s="210"/>
      <c r="E6" s="35" t="s">
        <v>80</v>
      </c>
      <c r="F6" s="210"/>
      <c r="G6" s="210"/>
      <c r="H6" s="210"/>
      <c r="I6" s="210"/>
      <c r="J6" s="1"/>
      <c r="K6" s="1"/>
      <c r="L6" s="1"/>
      <c r="M6" s="1"/>
    </row>
    <row r="7" spans="1:13" x14ac:dyDescent="0.2">
      <c r="A7" s="4"/>
      <c r="B7" s="35"/>
      <c r="C7" s="210"/>
      <c r="D7" s="210"/>
      <c r="E7" s="35" t="s">
        <v>81</v>
      </c>
      <c r="F7" s="210"/>
      <c r="G7" s="210"/>
      <c r="H7" s="210"/>
      <c r="I7" s="210"/>
      <c r="J7" s="1"/>
      <c r="K7" s="1"/>
      <c r="L7" s="1"/>
      <c r="M7" s="1"/>
    </row>
    <row r="8" spans="1:13" ht="13.5" thickBot="1" x14ac:dyDescent="0.25">
      <c r="A8" s="4"/>
      <c r="B8" s="40" t="s">
        <v>123</v>
      </c>
      <c r="C8" s="150"/>
      <c r="D8" s="150"/>
      <c r="E8" s="36" t="s">
        <v>82</v>
      </c>
      <c r="F8" s="210"/>
      <c r="G8" s="210"/>
      <c r="H8" s="210"/>
      <c r="I8" s="210"/>
      <c r="J8" s="34"/>
      <c r="K8" s="1"/>
      <c r="L8" s="1"/>
      <c r="M8" s="1"/>
    </row>
    <row r="9" spans="1:13" x14ac:dyDescent="0.2">
      <c r="A9" s="4"/>
      <c r="B9" s="37" t="s">
        <v>6</v>
      </c>
      <c r="C9" s="37"/>
      <c r="D9" s="148" t="s">
        <v>83</v>
      </c>
      <c r="E9" s="148" t="s">
        <v>95</v>
      </c>
      <c r="F9" s="149" t="s">
        <v>96</v>
      </c>
      <c r="G9" s="51"/>
      <c r="H9" s="51"/>
      <c r="I9" s="52"/>
      <c r="J9" s="34"/>
      <c r="K9" s="1"/>
    </row>
    <row r="10" spans="1:13" ht="13.5" thickBot="1" x14ac:dyDescent="0.25">
      <c r="A10" s="4"/>
      <c r="B10" s="38" t="s">
        <v>7</v>
      </c>
      <c r="C10" s="38"/>
      <c r="D10" s="47"/>
      <c r="E10" s="47"/>
      <c r="F10" s="53"/>
      <c r="G10" s="53"/>
      <c r="H10" s="53"/>
      <c r="I10" s="54"/>
      <c r="J10" s="34"/>
      <c r="K10" s="1"/>
    </row>
    <row r="11" spans="1:13" ht="16.5" thickBot="1" x14ac:dyDescent="0.3">
      <c r="A11" s="4"/>
      <c r="B11" s="10" t="s">
        <v>84</v>
      </c>
      <c r="C11" s="10"/>
      <c r="D11" s="10"/>
      <c r="E11" s="10"/>
      <c r="F11" s="55"/>
      <c r="G11" s="55"/>
      <c r="H11" s="55"/>
      <c r="I11" s="56"/>
      <c r="J11" s="34"/>
      <c r="K11" s="1"/>
      <c r="L11" s="1"/>
      <c r="M11" s="1"/>
    </row>
    <row r="12" spans="1:13" x14ac:dyDescent="0.2">
      <c r="A12" s="4"/>
      <c r="B12" s="57" t="s">
        <v>85</v>
      </c>
      <c r="C12" s="120"/>
      <c r="D12" s="151"/>
      <c r="E12" s="120"/>
      <c r="F12" s="120"/>
      <c r="G12" s="120"/>
      <c r="H12" s="120"/>
      <c r="I12" s="151"/>
    </row>
    <row r="13" spans="1:13" x14ac:dyDescent="0.2">
      <c r="A13" s="4"/>
      <c r="B13" s="50" t="s">
        <v>86</v>
      </c>
      <c r="C13" s="126"/>
      <c r="D13" s="133"/>
      <c r="E13" s="126"/>
      <c r="F13" s="126"/>
      <c r="G13" s="126"/>
      <c r="H13" s="126"/>
      <c r="I13" s="133"/>
    </row>
    <row r="14" spans="1:13" x14ac:dyDescent="0.2">
      <c r="A14" s="4"/>
      <c r="B14" s="50" t="s">
        <v>87</v>
      </c>
      <c r="C14" s="126"/>
      <c r="D14" s="133"/>
      <c r="E14" s="126"/>
      <c r="F14" s="126"/>
      <c r="G14" s="126"/>
      <c r="H14" s="126"/>
      <c r="I14" s="133"/>
    </row>
    <row r="15" spans="1:13" x14ac:dyDescent="0.2">
      <c r="A15" s="4"/>
      <c r="B15" s="50" t="s">
        <v>88</v>
      </c>
      <c r="C15" s="126"/>
      <c r="D15" s="133"/>
      <c r="E15" s="126"/>
      <c r="F15" s="126"/>
      <c r="G15" s="152"/>
      <c r="H15" s="126"/>
      <c r="I15" s="133"/>
    </row>
    <row r="16" spans="1:13" x14ac:dyDescent="0.2">
      <c r="A16" s="4"/>
      <c r="B16" s="50" t="s">
        <v>168</v>
      </c>
      <c r="C16" s="100"/>
      <c r="D16" s="84"/>
      <c r="E16" s="89"/>
      <c r="F16" s="89"/>
      <c r="H16" s="4"/>
      <c r="I16" s="48"/>
    </row>
    <row r="17" spans="1:9" x14ac:dyDescent="0.2">
      <c r="A17" s="4"/>
      <c r="B17" s="50" t="s">
        <v>89</v>
      </c>
      <c r="C17" s="126"/>
      <c r="D17" s="133"/>
      <c r="E17" s="126"/>
      <c r="F17" s="126"/>
      <c r="G17" s="126"/>
      <c r="H17" s="126"/>
      <c r="I17" s="133"/>
    </row>
    <row r="18" spans="1:9" x14ac:dyDescent="0.2">
      <c r="A18" s="4"/>
      <c r="B18" s="50" t="s">
        <v>90</v>
      </c>
      <c r="C18" s="126"/>
      <c r="D18" s="133"/>
      <c r="E18" s="126"/>
      <c r="F18" s="126"/>
      <c r="G18" s="126"/>
      <c r="H18" s="126"/>
      <c r="I18" s="133"/>
    </row>
    <row r="19" spans="1:9" x14ac:dyDescent="0.2">
      <c r="A19" s="4"/>
      <c r="B19" s="50" t="s">
        <v>91</v>
      </c>
      <c r="C19" s="126"/>
      <c r="D19" s="133"/>
      <c r="E19" s="126"/>
      <c r="F19" s="126"/>
      <c r="G19" s="126"/>
      <c r="H19" s="126"/>
      <c r="I19" s="133"/>
    </row>
    <row r="20" spans="1:9" x14ac:dyDescent="0.2">
      <c r="A20" s="4"/>
      <c r="B20" s="50" t="s">
        <v>92</v>
      </c>
      <c r="C20" s="126"/>
      <c r="D20" s="133"/>
      <c r="E20" s="126"/>
      <c r="F20" s="126"/>
      <c r="G20" s="126"/>
      <c r="H20" s="126"/>
      <c r="I20" s="133"/>
    </row>
    <row r="21" spans="1:9" x14ac:dyDescent="0.2">
      <c r="A21" s="4"/>
      <c r="B21" s="50" t="s">
        <v>152</v>
      </c>
      <c r="C21" s="101"/>
      <c r="D21" s="84"/>
      <c r="E21" s="89"/>
      <c r="F21" s="89"/>
      <c r="G21" s="4"/>
      <c r="H21" s="4"/>
      <c r="I21" s="48"/>
    </row>
    <row r="22" spans="1:9" x14ac:dyDescent="0.2">
      <c r="A22" s="4"/>
      <c r="B22" s="50" t="s">
        <v>93</v>
      </c>
      <c r="C22" s="126"/>
      <c r="D22" s="152"/>
      <c r="E22" s="152"/>
      <c r="F22" s="152"/>
      <c r="G22" s="126"/>
      <c r="H22" s="126"/>
      <c r="I22" s="133"/>
    </row>
    <row r="23" spans="1:9" ht="13.5" thickBot="1" x14ac:dyDescent="0.25">
      <c r="A23" s="4"/>
      <c r="B23" s="63" t="s">
        <v>94</v>
      </c>
      <c r="C23" s="134"/>
      <c r="D23" s="145"/>
      <c r="E23" s="134"/>
      <c r="F23" s="134"/>
      <c r="G23" s="134"/>
      <c r="H23" s="134"/>
      <c r="I23" s="145"/>
    </row>
    <row r="24" spans="1:9" ht="16.5" thickBot="1" x14ac:dyDescent="0.3">
      <c r="A24" s="4"/>
      <c r="B24" s="10" t="s">
        <v>97</v>
      </c>
      <c r="C24" s="12"/>
      <c r="D24" s="12"/>
      <c r="E24" s="32"/>
      <c r="F24" s="12"/>
      <c r="G24" s="12"/>
      <c r="H24" s="59"/>
      <c r="I24" s="60"/>
    </row>
    <row r="25" spans="1:9" x14ac:dyDescent="0.2">
      <c r="A25" s="4"/>
      <c r="B25" s="65" t="s">
        <v>109</v>
      </c>
      <c r="C25" s="81"/>
      <c r="D25" s="102"/>
      <c r="E25" s="102"/>
      <c r="F25" s="103"/>
      <c r="G25" s="61"/>
      <c r="H25" s="61"/>
      <c r="I25" s="58"/>
    </row>
    <row r="26" spans="1:9" x14ac:dyDescent="0.2">
      <c r="A26" s="4"/>
      <c r="B26" s="66" t="s">
        <v>98</v>
      </c>
      <c r="C26" s="142"/>
      <c r="D26" s="126"/>
      <c r="E26" s="126"/>
      <c r="F26" s="142"/>
      <c r="G26" s="126"/>
      <c r="H26" s="126"/>
      <c r="I26" s="133"/>
    </row>
    <row r="27" spans="1:9" x14ac:dyDescent="0.2">
      <c r="A27" s="4"/>
      <c r="B27" s="66" t="s">
        <v>99</v>
      </c>
      <c r="C27" s="81"/>
      <c r="D27" s="89"/>
      <c r="E27" s="89"/>
      <c r="F27" s="81"/>
      <c r="G27" s="4"/>
      <c r="H27" s="4"/>
      <c r="I27" s="48"/>
    </row>
    <row r="28" spans="1:9" x14ac:dyDescent="0.2">
      <c r="A28" s="4"/>
      <c r="B28" s="67" t="s">
        <v>101</v>
      </c>
      <c r="C28" s="81"/>
      <c r="D28" s="89"/>
      <c r="E28" s="89"/>
      <c r="F28" s="81"/>
      <c r="G28" s="4"/>
      <c r="H28" s="4"/>
      <c r="I28" s="48"/>
    </row>
    <row r="29" spans="1:9" x14ac:dyDescent="0.2">
      <c r="A29" s="4"/>
      <c r="B29" s="66" t="s">
        <v>136</v>
      </c>
      <c r="C29" s="17"/>
      <c r="D29" s="89"/>
      <c r="E29" s="89"/>
      <c r="F29" s="81"/>
      <c r="G29" s="4"/>
      <c r="H29" s="4"/>
      <c r="I29" s="48"/>
    </row>
    <row r="30" spans="1:9" x14ac:dyDescent="0.2">
      <c r="A30" s="4"/>
      <c r="B30" s="66" t="s">
        <v>102</v>
      </c>
      <c r="C30" s="17"/>
      <c r="D30" s="89"/>
      <c r="E30" s="89"/>
      <c r="F30" s="81"/>
      <c r="G30" s="4"/>
      <c r="H30" s="4"/>
      <c r="I30" s="48"/>
    </row>
    <row r="31" spans="1:9" x14ac:dyDescent="0.2">
      <c r="A31" s="4"/>
      <c r="B31" s="66" t="s">
        <v>124</v>
      </c>
      <c r="C31" s="17"/>
      <c r="D31" s="89"/>
      <c r="E31" s="89"/>
      <c r="F31" s="81"/>
      <c r="G31" s="4"/>
      <c r="H31" s="4"/>
      <c r="I31" s="48"/>
    </row>
    <row r="32" spans="1:9" x14ac:dyDescent="0.2">
      <c r="A32" s="4"/>
      <c r="B32" s="66" t="s">
        <v>179</v>
      </c>
      <c r="C32" s="17"/>
      <c r="D32" s="89"/>
      <c r="E32" s="89"/>
      <c r="F32" s="81"/>
      <c r="G32" s="4"/>
      <c r="H32" s="4"/>
      <c r="I32" s="48"/>
    </row>
    <row r="33" spans="1:9" x14ac:dyDescent="0.2">
      <c r="A33" s="4"/>
      <c r="B33" s="66" t="s">
        <v>103</v>
      </c>
      <c r="C33" s="17"/>
      <c r="D33" s="4"/>
      <c r="E33" s="4"/>
      <c r="F33" s="17"/>
      <c r="G33" s="4"/>
      <c r="H33" s="4"/>
      <c r="I33" s="48"/>
    </row>
    <row r="34" spans="1:9" x14ac:dyDescent="0.2">
      <c r="A34" s="4"/>
      <c r="B34" s="66" t="s">
        <v>104</v>
      </c>
      <c r="C34" s="106"/>
      <c r="D34" s="104"/>
      <c r="E34" s="105"/>
      <c r="F34" s="81"/>
      <c r="G34" s="4"/>
      <c r="H34" s="4"/>
      <c r="I34" s="48"/>
    </row>
    <row r="35" spans="1:9" x14ac:dyDescent="0.2">
      <c r="A35" s="4"/>
      <c r="B35" s="66" t="s">
        <v>110</v>
      </c>
      <c r="C35" s="90"/>
      <c r="D35" s="167"/>
      <c r="E35" s="167"/>
      <c r="F35" s="166"/>
      <c r="G35" s="4"/>
      <c r="H35" s="4"/>
      <c r="I35" s="48"/>
    </row>
    <row r="36" spans="1:9" x14ac:dyDescent="0.2">
      <c r="A36" s="4"/>
      <c r="B36" s="66" t="s">
        <v>111</v>
      </c>
      <c r="C36" s="107"/>
      <c r="D36" s="167"/>
      <c r="E36" s="167"/>
      <c r="F36" s="166"/>
      <c r="G36" s="4"/>
      <c r="H36" s="4"/>
      <c r="I36" s="48"/>
    </row>
    <row r="37" spans="1:9" x14ac:dyDescent="0.2">
      <c r="A37" s="4"/>
      <c r="B37" s="66" t="s">
        <v>112</v>
      </c>
      <c r="C37" s="107"/>
      <c r="D37" s="108"/>
      <c r="E37" s="108"/>
      <c r="F37" s="166"/>
      <c r="G37" s="4"/>
      <c r="H37" s="4"/>
      <c r="I37" s="48"/>
    </row>
    <row r="38" spans="1:9" x14ac:dyDescent="0.2">
      <c r="A38" s="4"/>
      <c r="B38" s="66" t="s">
        <v>111</v>
      </c>
      <c r="C38" s="90"/>
      <c r="D38" s="108"/>
      <c r="E38" s="108"/>
      <c r="F38" s="166"/>
      <c r="G38" s="4"/>
      <c r="H38" s="4"/>
      <c r="I38" s="48"/>
    </row>
    <row r="39" spans="1:9" x14ac:dyDescent="0.2">
      <c r="A39" s="4"/>
      <c r="B39" s="66" t="s">
        <v>105</v>
      </c>
      <c r="C39" s="107"/>
      <c r="D39" s="108"/>
      <c r="E39" s="105"/>
      <c r="F39" s="81"/>
      <c r="G39" s="4"/>
      <c r="H39" s="4"/>
      <c r="I39" s="48"/>
    </row>
    <row r="40" spans="1:9" x14ac:dyDescent="0.2">
      <c r="A40" s="4"/>
      <c r="B40" s="68" t="s">
        <v>157</v>
      </c>
      <c r="C40" s="109"/>
      <c r="D40" s="89"/>
      <c r="E40" s="105"/>
      <c r="F40" s="81"/>
      <c r="G40" s="4"/>
      <c r="H40" s="4"/>
      <c r="I40" s="48"/>
    </row>
    <row r="41" spans="1:9" x14ac:dyDescent="0.2">
      <c r="A41" s="4"/>
      <c r="B41" s="66" t="s">
        <v>106</v>
      </c>
      <c r="C41" s="111"/>
      <c r="D41" s="126"/>
      <c r="E41" s="126"/>
      <c r="F41" s="142"/>
      <c r="G41" s="126"/>
      <c r="H41" s="126"/>
      <c r="I41" s="133"/>
    </row>
    <row r="42" spans="1:9" x14ac:dyDescent="0.2">
      <c r="A42" s="4"/>
      <c r="B42" s="66" t="s">
        <v>107</v>
      </c>
      <c r="C42" s="153"/>
      <c r="D42" s="154"/>
      <c r="E42" s="156"/>
      <c r="F42" s="142"/>
      <c r="G42" s="126"/>
      <c r="H42" s="126"/>
      <c r="I42" s="133"/>
    </row>
    <row r="43" spans="1:9" ht="13.5" thickBot="1" x14ac:dyDescent="0.25">
      <c r="A43" s="4"/>
      <c r="B43" s="69" t="s">
        <v>108</v>
      </c>
      <c r="C43" s="153"/>
      <c r="D43" s="62"/>
      <c r="E43" s="155"/>
      <c r="F43" s="144"/>
      <c r="G43" s="134"/>
      <c r="H43" s="134"/>
      <c r="I43" s="145"/>
    </row>
    <row r="44" spans="1:9" ht="20.25" thickBot="1" x14ac:dyDescent="0.4">
      <c r="A44" s="4"/>
      <c r="B44" s="46" t="s">
        <v>113</v>
      </c>
      <c r="C44" s="42"/>
      <c r="D44" s="98"/>
      <c r="E44" s="99"/>
      <c r="F44" s="43"/>
      <c r="G44" s="59"/>
      <c r="H44" s="59"/>
      <c r="I44" s="60"/>
    </row>
    <row r="45" spans="1:9" x14ac:dyDescent="0.2">
      <c r="A45" s="4"/>
      <c r="B45" s="45" t="s">
        <v>114</v>
      </c>
      <c r="C45" s="114"/>
      <c r="D45" s="86"/>
      <c r="E45" s="102"/>
      <c r="F45" s="103"/>
      <c r="G45" s="61"/>
      <c r="H45" s="61"/>
      <c r="I45" s="58"/>
    </row>
    <row r="46" spans="1:9" x14ac:dyDescent="0.2">
      <c r="A46" s="4"/>
      <c r="B46" s="45" t="s">
        <v>115</v>
      </c>
      <c r="C46" s="115"/>
      <c r="D46" s="127"/>
      <c r="E46" s="126"/>
      <c r="F46" s="142"/>
      <c r="G46" s="4"/>
      <c r="H46" s="4"/>
      <c r="I46" s="48"/>
    </row>
    <row r="47" spans="1:9" x14ac:dyDescent="0.2">
      <c r="A47" s="4"/>
      <c r="B47" s="45" t="s">
        <v>150</v>
      </c>
      <c r="C47" s="116"/>
      <c r="D47" s="79"/>
      <c r="E47" s="89"/>
      <c r="F47" s="81"/>
      <c r="G47" s="4"/>
      <c r="H47" s="4"/>
      <c r="I47" s="48"/>
    </row>
    <row r="48" spans="1:9" x14ac:dyDescent="0.2">
      <c r="A48" s="4"/>
      <c r="B48" s="45" t="s">
        <v>151</v>
      </c>
      <c r="C48" s="89"/>
      <c r="D48" s="79"/>
      <c r="E48" s="89"/>
      <c r="F48" s="81"/>
      <c r="G48" s="4"/>
      <c r="H48" s="4"/>
      <c r="I48" s="48"/>
    </row>
    <row r="49" spans="1:9" x14ac:dyDescent="0.2">
      <c r="A49" s="4"/>
      <c r="B49" s="45" t="s">
        <v>163</v>
      </c>
      <c r="C49" s="89"/>
      <c r="D49" s="79"/>
      <c r="E49" s="89"/>
      <c r="F49" s="81"/>
      <c r="G49" s="4"/>
      <c r="H49" s="4"/>
      <c r="I49" s="48"/>
    </row>
    <row r="50" spans="1:9" x14ac:dyDescent="0.2">
      <c r="A50" s="4"/>
      <c r="B50" s="45" t="s">
        <v>153</v>
      </c>
      <c r="C50" s="89"/>
      <c r="D50" s="79"/>
      <c r="E50" s="89"/>
      <c r="F50" s="81"/>
      <c r="G50" s="4"/>
      <c r="H50" s="4"/>
      <c r="I50" s="48"/>
    </row>
    <row r="51" spans="1:9" x14ac:dyDescent="0.2">
      <c r="A51" s="4"/>
      <c r="B51" s="45" t="s">
        <v>116</v>
      </c>
      <c r="C51" s="89"/>
      <c r="D51" s="79"/>
      <c r="E51" s="89"/>
      <c r="F51" s="81"/>
      <c r="G51" s="4"/>
      <c r="H51" s="4"/>
      <c r="I51" s="48"/>
    </row>
    <row r="52" spans="1:9" ht="13.5" thickBot="1" x14ac:dyDescent="0.25">
      <c r="A52" s="4"/>
      <c r="B52" s="45" t="s">
        <v>117</v>
      </c>
      <c r="C52" s="117"/>
      <c r="D52" s="87"/>
      <c r="E52" s="110"/>
      <c r="F52" s="90"/>
      <c r="G52" s="5"/>
      <c r="H52" s="5"/>
      <c r="I52" s="49"/>
    </row>
    <row r="53" spans="1:9" ht="20.25" thickBot="1" x14ac:dyDescent="0.4">
      <c r="A53" s="4"/>
      <c r="B53" s="41" t="s">
        <v>118</v>
      </c>
      <c r="C53" s="42"/>
      <c r="D53" s="71"/>
      <c r="E53" s="44"/>
      <c r="F53" s="43"/>
    </row>
    <row r="54" spans="1:9" x14ac:dyDescent="0.2">
      <c r="A54" s="4"/>
      <c r="B54" s="45" t="s">
        <v>71</v>
      </c>
      <c r="C54" s="118"/>
      <c r="D54" s="120"/>
      <c r="E54" s="120"/>
      <c r="F54" s="120"/>
      <c r="G54" s="120"/>
      <c r="H54" s="120"/>
      <c r="I54" s="120"/>
    </row>
    <row r="55" spans="1:9" x14ac:dyDescent="0.2">
      <c r="A55" s="4"/>
      <c r="B55" s="39" t="s">
        <v>98</v>
      </c>
      <c r="C55" s="115"/>
      <c r="D55" s="126"/>
      <c r="E55" s="126"/>
      <c r="F55" s="126"/>
      <c r="G55" s="126"/>
      <c r="H55" s="126"/>
      <c r="I55" s="126"/>
    </row>
    <row r="56" spans="1:9" x14ac:dyDescent="0.2">
      <c r="A56" s="4"/>
      <c r="B56" s="45" t="s">
        <v>119</v>
      </c>
      <c r="C56" s="115"/>
      <c r="D56" s="126"/>
      <c r="E56" s="126"/>
      <c r="F56" s="126"/>
      <c r="G56" s="126"/>
      <c r="H56" s="126"/>
      <c r="I56" s="126"/>
    </row>
    <row r="57" spans="1:9" x14ac:dyDescent="0.2">
      <c r="A57" s="4"/>
      <c r="B57" s="45" t="s">
        <v>120</v>
      </c>
      <c r="C57" s="115"/>
      <c r="D57" s="126"/>
      <c r="E57" s="126"/>
      <c r="F57" s="126"/>
      <c r="G57" s="126"/>
      <c r="H57" s="126"/>
      <c r="I57" s="126"/>
    </row>
    <row r="58" spans="1:9" ht="13.5" thickBot="1" x14ac:dyDescent="0.25">
      <c r="A58" s="4"/>
      <c r="B58" s="50" t="s">
        <v>121</v>
      </c>
      <c r="C58" s="119"/>
      <c r="D58" s="156"/>
      <c r="E58" s="156"/>
      <c r="F58" s="156"/>
      <c r="G58" s="156"/>
      <c r="H58" s="156"/>
      <c r="I58" s="126"/>
    </row>
    <row r="59" spans="1:9" x14ac:dyDescent="0.2">
      <c r="A59" s="13"/>
      <c r="B59" s="121" t="s">
        <v>122</v>
      </c>
      <c r="C59" s="112"/>
      <c r="D59" s="113"/>
      <c r="E59" s="112"/>
      <c r="F59" s="112"/>
      <c r="G59" s="112"/>
      <c r="H59" s="112"/>
      <c r="I59" s="151"/>
    </row>
    <row r="60" spans="1:9" x14ac:dyDescent="0.2">
      <c r="A60" s="13"/>
      <c r="B60" s="127"/>
      <c r="C60" s="111"/>
      <c r="D60" s="111"/>
      <c r="E60" s="111"/>
      <c r="F60" s="111"/>
      <c r="G60" s="111"/>
      <c r="H60" s="111"/>
      <c r="I60" s="133"/>
    </row>
    <row r="61" spans="1:9" x14ac:dyDescent="0.2">
      <c r="A61" s="13"/>
      <c r="B61" s="127"/>
      <c r="C61" s="111"/>
      <c r="D61" s="111"/>
      <c r="E61" s="111"/>
      <c r="F61" s="111"/>
      <c r="G61" s="111"/>
      <c r="H61" s="111"/>
      <c r="I61" s="133"/>
    </row>
    <row r="62" spans="1:9" x14ac:dyDescent="0.2">
      <c r="A62" s="13"/>
      <c r="B62" s="127"/>
      <c r="C62" s="111"/>
      <c r="D62" s="111"/>
      <c r="E62" s="111"/>
      <c r="F62" s="111"/>
      <c r="G62" s="111"/>
      <c r="H62" s="111"/>
      <c r="I62" s="133"/>
    </row>
    <row r="63" spans="1:9" x14ac:dyDescent="0.2">
      <c r="A63" s="13"/>
      <c r="B63" s="127"/>
      <c r="C63" s="142"/>
      <c r="D63" s="142"/>
      <c r="E63" s="142"/>
      <c r="F63" s="142"/>
      <c r="G63" s="142"/>
      <c r="H63" s="142"/>
      <c r="I63" s="133"/>
    </row>
    <row r="64" spans="1:9" x14ac:dyDescent="0.2">
      <c r="A64" s="13"/>
      <c r="B64" s="127"/>
      <c r="C64" s="142"/>
      <c r="D64" s="142"/>
      <c r="E64" s="142"/>
      <c r="F64" s="142"/>
      <c r="G64" s="142"/>
      <c r="H64" s="142"/>
      <c r="I64" s="133"/>
    </row>
    <row r="65" spans="1:9" x14ac:dyDescent="0.2">
      <c r="A65" s="13"/>
      <c r="B65" s="127"/>
      <c r="C65" s="142"/>
      <c r="D65" s="142"/>
      <c r="E65" s="142"/>
      <c r="F65" s="142"/>
      <c r="G65" s="142"/>
      <c r="H65" s="142"/>
      <c r="I65" s="133"/>
    </row>
    <row r="66" spans="1:9" x14ac:dyDescent="0.2">
      <c r="A66" s="13"/>
      <c r="B66" s="127"/>
      <c r="C66" s="142"/>
      <c r="D66" s="142"/>
      <c r="E66" s="142"/>
      <c r="F66" s="142"/>
      <c r="G66" s="142"/>
      <c r="H66" s="142"/>
      <c r="I66" s="133"/>
    </row>
    <row r="67" spans="1:9" x14ac:dyDescent="0.2">
      <c r="A67" s="13"/>
      <c r="B67" s="127"/>
      <c r="C67" s="142"/>
      <c r="D67" s="142"/>
      <c r="E67" s="142"/>
      <c r="F67" s="142"/>
      <c r="G67" s="142"/>
      <c r="H67" s="142"/>
      <c r="I67" s="133"/>
    </row>
    <row r="68" spans="1:9" ht="13.5" thickBot="1" x14ac:dyDescent="0.25">
      <c r="A68" s="15"/>
      <c r="B68" s="135"/>
      <c r="C68" s="144"/>
      <c r="D68" s="144"/>
      <c r="E68" s="144"/>
      <c r="F68" s="144"/>
      <c r="G68" s="144"/>
      <c r="H68" s="144"/>
      <c r="I68" s="145"/>
    </row>
  </sheetData>
  <mergeCells count="12">
    <mergeCell ref="C1:I1"/>
    <mergeCell ref="C2:I2"/>
    <mergeCell ref="A3:I3"/>
    <mergeCell ref="F8:I8"/>
    <mergeCell ref="C4:D4"/>
    <mergeCell ref="C5:D5"/>
    <mergeCell ref="C6:D6"/>
    <mergeCell ref="C7:D7"/>
    <mergeCell ref="F4:I4"/>
    <mergeCell ref="F5:I5"/>
    <mergeCell ref="F6:I6"/>
    <mergeCell ref="F7:I7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Q41"/>
  <sheetViews>
    <sheetView topLeftCell="A13" workbookViewId="0">
      <selection activeCell="C22" sqref="C22"/>
    </sheetView>
  </sheetViews>
  <sheetFormatPr defaultRowHeight="12.75" x14ac:dyDescent="0.2"/>
  <cols>
    <col min="1" max="1" width="24.28515625" customWidth="1"/>
    <col min="2" max="2" width="14.5703125" customWidth="1"/>
    <col min="3" max="3" width="15.42578125" customWidth="1"/>
  </cols>
  <sheetData>
    <row r="2" spans="1:3" x14ac:dyDescent="0.2">
      <c r="A2" s="70" t="s">
        <v>137</v>
      </c>
    </row>
    <row r="3" spans="1:3" x14ac:dyDescent="0.2">
      <c r="A3" s="70"/>
    </row>
    <row r="4" spans="1:3" x14ac:dyDescent="0.2">
      <c r="A4" t="s">
        <v>125</v>
      </c>
      <c r="B4" t="s">
        <v>177</v>
      </c>
      <c r="C4" s="20">
        <v>1</v>
      </c>
    </row>
    <row r="5" spans="1:3" x14ac:dyDescent="0.2">
      <c r="A5" t="s">
        <v>127</v>
      </c>
      <c r="B5" t="s">
        <v>178</v>
      </c>
      <c r="C5" s="20">
        <v>3</v>
      </c>
    </row>
    <row r="6" spans="1:3" x14ac:dyDescent="0.2">
      <c r="A6" t="s">
        <v>131</v>
      </c>
      <c r="B6" s="20"/>
      <c r="C6" s="17"/>
    </row>
    <row r="7" spans="1:3" x14ac:dyDescent="0.2">
      <c r="A7" t="s">
        <v>126</v>
      </c>
      <c r="B7">
        <f>IF(C4 = 1, 1,0)</f>
        <v>1</v>
      </c>
    </row>
    <row r="8" spans="1:3" x14ac:dyDescent="0.2">
      <c r="A8" t="s">
        <v>128</v>
      </c>
      <c r="B8">
        <f>IF(AND($C$4,$C$5=4),2,0)</f>
        <v>0</v>
      </c>
    </row>
    <row r="9" spans="1:3" x14ac:dyDescent="0.2">
      <c r="A9" t="s">
        <v>129</v>
      </c>
      <c r="B9">
        <f>IF(AND($C$4,$C$5=5),1,0)</f>
        <v>0</v>
      </c>
    </row>
    <row r="10" spans="1:3" x14ac:dyDescent="0.2">
      <c r="A10" t="s">
        <v>130</v>
      </c>
      <c r="B10">
        <f>IF(AND($C$4,$C$5=6),2,0)</f>
        <v>0</v>
      </c>
    </row>
    <row r="11" spans="1:3" x14ac:dyDescent="0.2">
      <c r="A11" t="s">
        <v>132</v>
      </c>
      <c r="B11">
        <f>IF(AND($C$4,$C$5=7),B6,0)</f>
        <v>0</v>
      </c>
    </row>
    <row r="12" spans="1:3" x14ac:dyDescent="0.2">
      <c r="A12" s="70" t="s">
        <v>133</v>
      </c>
      <c r="B12">
        <f>SUM(B7:B11)</f>
        <v>1</v>
      </c>
    </row>
    <row r="13" spans="1:3" x14ac:dyDescent="0.2">
      <c r="A13" t="s">
        <v>134</v>
      </c>
      <c r="B13" s="20">
        <v>6</v>
      </c>
    </row>
    <row r="14" spans="1:3" x14ac:dyDescent="0.2">
      <c r="A14" t="s">
        <v>135</v>
      </c>
      <c r="B14">
        <f xml:space="preserve"> B12*B13</f>
        <v>6</v>
      </c>
    </row>
    <row r="16" spans="1:3" x14ac:dyDescent="0.2">
      <c r="A16" s="70" t="s">
        <v>140</v>
      </c>
      <c r="B16" s="70" t="s">
        <v>139</v>
      </c>
      <c r="C16" s="70" t="s">
        <v>138</v>
      </c>
    </row>
    <row r="17" spans="1:17" x14ac:dyDescent="0.2">
      <c r="A17" t="s">
        <v>141</v>
      </c>
      <c r="B17" t="s">
        <v>143</v>
      </c>
      <c r="C17" t="s">
        <v>143</v>
      </c>
      <c r="E17" s="20"/>
      <c r="G17" s="20"/>
      <c r="I17" s="20"/>
      <c r="K17" s="20"/>
      <c r="M17" s="20"/>
      <c r="O17" s="20"/>
      <c r="Q17" s="20" t="s">
        <v>142</v>
      </c>
    </row>
    <row r="18" spans="1:17" x14ac:dyDescent="0.2">
      <c r="A18" t="s">
        <v>145</v>
      </c>
      <c r="B18" s="20">
        <v>3</v>
      </c>
      <c r="C18" s="20">
        <v>8</v>
      </c>
      <c r="D18" s="20"/>
      <c r="E18" s="20"/>
      <c r="F18" s="20"/>
      <c r="G18" s="20"/>
      <c r="H18" s="20"/>
      <c r="I18" s="20"/>
      <c r="J18" s="20"/>
      <c r="K18" s="17"/>
      <c r="M18" s="17"/>
      <c r="O18" s="17"/>
      <c r="Q18" s="17"/>
    </row>
    <row r="19" spans="1:17" x14ac:dyDescent="0.2">
      <c r="A19" t="s">
        <v>144</v>
      </c>
      <c r="B19" s="20">
        <v>6</v>
      </c>
      <c r="C19" s="20">
        <v>6</v>
      </c>
      <c r="D19" s="20"/>
      <c r="E19" s="20"/>
      <c r="F19" s="20"/>
      <c r="G19" s="20"/>
      <c r="H19" s="20"/>
      <c r="I19" s="20"/>
      <c r="J19" s="20"/>
    </row>
    <row r="20" spans="1:17" x14ac:dyDescent="0.2">
      <c r="A20" t="s">
        <v>146</v>
      </c>
      <c r="B20">
        <f>IF(EXACT("parallel",B17),B18*B19,B19)</f>
        <v>6</v>
      </c>
      <c r="C20">
        <f>IF(EXACT("parallel",C17),C18*C19,C19)</f>
        <v>6</v>
      </c>
    </row>
    <row r="22" spans="1:17" x14ac:dyDescent="0.2">
      <c r="A22" t="s">
        <v>148</v>
      </c>
      <c r="B22" t="s">
        <v>147</v>
      </c>
      <c r="C22">
        <v>852.30499999999995</v>
      </c>
      <c r="D22">
        <v>67.918000000000006</v>
      </c>
      <c r="E22">
        <v>170.46100000000001</v>
      </c>
    </row>
    <row r="23" spans="1:17" x14ac:dyDescent="0.2">
      <c r="A23" t="s">
        <v>149</v>
      </c>
      <c r="B23" t="s">
        <v>147</v>
      </c>
      <c r="C23">
        <v>852.30499999999995</v>
      </c>
      <c r="D23">
        <v>67.918000000000006</v>
      </c>
      <c r="E23">
        <v>2198.3420000000001</v>
      </c>
    </row>
    <row r="24" spans="1:17" x14ac:dyDescent="0.2">
      <c r="A24" t="s">
        <v>156</v>
      </c>
      <c r="B24">
        <v>1</v>
      </c>
      <c r="C24">
        <v>1</v>
      </c>
      <c r="D24">
        <v>12.9</v>
      </c>
    </row>
    <row r="25" spans="1:17" x14ac:dyDescent="0.2">
      <c r="A25" t="s">
        <v>155</v>
      </c>
      <c r="B25" t="s">
        <v>4</v>
      </c>
      <c r="C25">
        <v>216</v>
      </c>
      <c r="D25">
        <v>531</v>
      </c>
    </row>
    <row r="27" spans="1:17" x14ac:dyDescent="0.2">
      <c r="A27" t="s">
        <v>158</v>
      </c>
      <c r="B27" t="s">
        <v>100</v>
      </c>
      <c r="C27" s="20"/>
      <c r="D27" s="20">
        <v>25.4</v>
      </c>
      <c r="E27" s="20"/>
      <c r="F27" s="20"/>
      <c r="G27" s="20"/>
      <c r="H27" s="20"/>
      <c r="I27" s="20"/>
      <c r="J27" s="20"/>
      <c r="K27" s="20"/>
    </row>
    <row r="28" spans="1:17" x14ac:dyDescent="0.2">
      <c r="A28" t="s">
        <v>159</v>
      </c>
      <c r="B28" t="s">
        <v>100</v>
      </c>
      <c r="C28" s="20"/>
      <c r="D28" s="20"/>
      <c r="E28" s="20"/>
      <c r="F28" s="20"/>
      <c r="G28" s="20"/>
      <c r="H28" s="20"/>
      <c r="I28" s="20"/>
      <c r="J28" s="20"/>
      <c r="K28" s="20"/>
    </row>
    <row r="29" spans="1:17" x14ac:dyDescent="0.2">
      <c r="A29" s="70" t="s">
        <v>164</v>
      </c>
      <c r="B29" s="70" t="s">
        <v>100</v>
      </c>
      <c r="C29" s="72">
        <f>SUM(C27:C28)</f>
        <v>0</v>
      </c>
      <c r="D29" s="72">
        <f>SUM(D27:D28)</f>
        <v>25.4</v>
      </c>
      <c r="E29" s="20"/>
      <c r="F29" s="20"/>
      <c r="G29" s="20"/>
      <c r="H29" s="20"/>
      <c r="I29" s="20"/>
      <c r="J29" s="20"/>
      <c r="K29" s="20"/>
    </row>
    <row r="30" spans="1:17" x14ac:dyDescent="0.2">
      <c r="A30" t="s">
        <v>160</v>
      </c>
      <c r="B30" t="s">
        <v>100</v>
      </c>
      <c r="C30" s="20"/>
      <c r="D30" s="20">
        <v>1.27</v>
      </c>
      <c r="E30" s="20"/>
      <c r="F30" s="20"/>
      <c r="G30" s="20"/>
      <c r="H30" s="20"/>
      <c r="I30" s="20"/>
      <c r="J30" s="20"/>
      <c r="K30" s="20"/>
    </row>
    <row r="31" spans="1:17" x14ac:dyDescent="0.2">
      <c r="A31" t="s">
        <v>161</v>
      </c>
      <c r="B31" t="s">
        <v>100</v>
      </c>
      <c r="C31" s="78"/>
      <c r="D31" s="20"/>
      <c r="E31" s="20"/>
      <c r="F31" s="20"/>
      <c r="G31" s="20"/>
      <c r="H31" s="20"/>
      <c r="I31" s="20"/>
      <c r="J31" s="20"/>
      <c r="K31" s="20"/>
    </row>
    <row r="32" spans="1:17" x14ac:dyDescent="0.2">
      <c r="A32" s="70" t="s">
        <v>169</v>
      </c>
      <c r="B32" s="70" t="s">
        <v>100</v>
      </c>
      <c r="C32" s="72">
        <f>SUM(C30:C31)</f>
        <v>0</v>
      </c>
      <c r="D32" s="72">
        <f>SUM(D30:D31)</f>
        <v>1.27</v>
      </c>
      <c r="E32" s="20"/>
      <c r="F32" s="20"/>
      <c r="G32" s="20"/>
      <c r="H32" s="20"/>
      <c r="I32" s="20"/>
      <c r="J32" s="20"/>
      <c r="K32" s="20"/>
    </row>
    <row r="33" spans="1:12" x14ac:dyDescent="0.2">
      <c r="A33" t="s">
        <v>162</v>
      </c>
      <c r="B33" t="s">
        <v>100</v>
      </c>
      <c r="C33" s="78"/>
      <c r="D33" s="20"/>
      <c r="E33" s="20"/>
      <c r="F33" s="20"/>
      <c r="G33" s="20"/>
      <c r="H33" s="20"/>
      <c r="I33" s="20"/>
      <c r="J33" s="20"/>
      <c r="K33" s="20"/>
    </row>
    <row r="34" spans="1:12" x14ac:dyDescent="0.2">
      <c r="A34" t="s">
        <v>162</v>
      </c>
      <c r="B34" t="s">
        <v>100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1:12" x14ac:dyDescent="0.2">
      <c r="A35" t="s">
        <v>165</v>
      </c>
      <c r="B35" t="s">
        <v>154</v>
      </c>
      <c r="C35" s="20"/>
      <c r="D35" s="20">
        <v>197</v>
      </c>
      <c r="E35" s="20"/>
      <c r="F35" s="20"/>
      <c r="G35" s="20"/>
      <c r="H35" s="20"/>
      <c r="I35" s="20"/>
      <c r="J35" s="20"/>
      <c r="K35" s="20"/>
      <c r="L35" s="20"/>
    </row>
    <row r="36" spans="1:12" x14ac:dyDescent="0.2">
      <c r="A36" t="s">
        <v>166</v>
      </c>
      <c r="B36" t="s">
        <v>154</v>
      </c>
      <c r="C36" s="20"/>
      <c r="D36" s="20"/>
      <c r="E36" s="20"/>
      <c r="F36" s="20"/>
      <c r="G36" s="20"/>
      <c r="H36" s="20"/>
      <c r="I36" s="20"/>
      <c r="J36" s="20"/>
      <c r="K36" s="20"/>
    </row>
    <row r="37" spans="1:12" x14ac:dyDescent="0.2">
      <c r="A37" s="70" t="s">
        <v>167</v>
      </c>
      <c r="B37" s="70" t="s">
        <v>154</v>
      </c>
      <c r="C37" s="70">
        <f>SUM(C35:C36)</f>
        <v>0</v>
      </c>
      <c r="D37" s="70">
        <f>SUM(D35:D36)</f>
        <v>197</v>
      </c>
    </row>
    <row r="39" spans="1:12" x14ac:dyDescent="0.2">
      <c r="A39" t="s">
        <v>172</v>
      </c>
      <c r="C39" s="20">
        <v>96</v>
      </c>
    </row>
    <row r="40" spans="1:12" x14ac:dyDescent="0.2">
      <c r="A40" t="s">
        <v>173</v>
      </c>
      <c r="C40" s="20"/>
    </row>
    <row r="41" spans="1:12" x14ac:dyDescent="0.2">
      <c r="A41" t="s">
        <v>174</v>
      </c>
      <c r="C41">
        <f>SUM(C39:C40)</f>
        <v>96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Process</vt:lpstr>
      <vt:lpstr>Combustion</vt:lpstr>
      <vt:lpstr>Mechanical (I)</vt:lpstr>
      <vt:lpstr>Work</vt:lpstr>
    </vt:vector>
  </TitlesOfParts>
  <Company>Aspen Technology,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FiredHeater API template</dc:title>
  <dc:subject>FiredHeater Automation Template</dc:subject>
  <dcterms:created xsi:type="dcterms:W3CDTF">1998-09-29T20:30:38Z</dcterms:created>
  <dcterms:modified xsi:type="dcterms:W3CDTF">2019-09-20T17:10:36Z</dcterms:modified>
</cp:coreProperties>
</file>