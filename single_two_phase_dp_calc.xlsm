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90" yWindow="345" windowWidth="11340" windowHeight="6540" tabRatio="502" activeTab="2"/>
  </bookViews>
  <sheets>
    <sheet name="General Input" sheetId="7" r:id="rId1"/>
    <sheet name="Process Input" sheetId="1" r:id="rId2"/>
    <sheet name="Calculations" sheetId="4" r:id="rId3"/>
    <sheet name="Results" sheetId="6" r:id="rId4"/>
    <sheet name="Sheet1" sheetId="8" r:id="rId5"/>
  </sheets>
  <calcPr calcId="125725"/>
</workbook>
</file>

<file path=xl/calcChain.xml><?xml version="1.0" encoding="utf-8"?>
<calcChain xmlns="http://schemas.openxmlformats.org/spreadsheetml/2006/main">
  <c r="E9" i="1"/>
  <c r="F10"/>
  <c r="K7"/>
  <c r="L10"/>
  <c r="L16"/>
  <c r="G36" i="4"/>
  <c r="F48"/>
  <c r="E5" i="1"/>
  <c r="G8"/>
  <c r="F9"/>
  <c r="F11"/>
  <c r="L9"/>
  <c r="L11"/>
  <c r="H6" i="4"/>
  <c r="D36" s="1"/>
  <c r="F12" i="1"/>
  <c r="L12"/>
  <c r="F13"/>
  <c r="L13"/>
  <c r="G37" i="4"/>
  <c r="F14" i="1"/>
  <c r="L14"/>
  <c r="L15"/>
  <c r="D34" i="4"/>
  <c r="L17" i="1"/>
  <c r="L18"/>
  <c r="G38" i="4"/>
  <c r="G14" i="6"/>
  <c r="G15"/>
  <c r="G16"/>
  <c r="G17"/>
  <c r="G18"/>
  <c r="G19"/>
  <c r="H7" i="4"/>
  <c r="H8" s="1"/>
  <c r="I49"/>
  <c r="K18" i="1"/>
  <c r="G15"/>
  <c r="E14"/>
  <c r="G13"/>
  <c r="K12"/>
  <c r="A11"/>
  <c r="G17"/>
  <c r="K13"/>
  <c r="A12"/>
  <c r="E7" i="6"/>
  <c r="K17" i="1"/>
  <c r="G16"/>
  <c r="K14"/>
  <c r="A13"/>
  <c r="E12"/>
  <c r="G11"/>
  <c r="A8"/>
  <c r="K16"/>
  <c r="A14"/>
  <c r="K11"/>
  <c r="H11" i="4"/>
  <c r="H9"/>
  <c r="H10"/>
  <c r="J31" s="1"/>
  <c r="J32" s="1"/>
  <c r="J33" s="1"/>
  <c r="J34" s="1"/>
  <c r="C6"/>
  <c r="C7"/>
  <c r="C8" s="1"/>
  <c r="D35"/>
  <c r="H12"/>
  <c r="G18" i="1"/>
  <c r="K15"/>
  <c r="G14"/>
  <c r="E13"/>
  <c r="G12"/>
  <c r="E11"/>
  <c r="A8" i="6"/>
  <c r="H13" i="4" l="1"/>
  <c r="E8" i="6" s="1"/>
  <c r="H14" i="4"/>
  <c r="J14" s="1"/>
  <c r="E9" i="6" s="1"/>
  <c r="G39" i="4"/>
  <c r="G40" s="1"/>
  <c r="A17"/>
  <c r="C10"/>
  <c r="C11" s="1"/>
  <c r="C12" s="1"/>
  <c r="C9"/>
  <c r="D37"/>
  <c r="D38" s="1"/>
  <c r="E7"/>
  <c r="D41" l="1"/>
  <c r="D42" s="1"/>
  <c r="G35" s="1"/>
  <c r="G46" s="1"/>
  <c r="D39"/>
  <c r="D40"/>
  <c r="G42"/>
  <c r="G43"/>
  <c r="G44" s="1"/>
  <c r="G45" s="1"/>
  <c r="G41"/>
  <c r="D49" l="1"/>
  <c r="B50" s="1"/>
  <c r="J36" s="1"/>
  <c r="H15" s="1"/>
  <c r="K41"/>
  <c r="K42" s="1"/>
  <c r="B48"/>
  <c r="B49"/>
  <c r="I48"/>
  <c r="K49" s="1"/>
  <c r="J50" s="1"/>
  <c r="D48"/>
  <c r="I41"/>
  <c r="I42" s="1"/>
  <c r="K48"/>
  <c r="E10" i="6" l="1"/>
  <c r="E11" s="1"/>
  <c r="H16" i="4"/>
</calcChain>
</file>

<file path=xl/sharedStrings.xml><?xml version="1.0" encoding="utf-8"?>
<sst xmlns="http://schemas.openxmlformats.org/spreadsheetml/2006/main" count="132" uniqueCount="97">
  <si>
    <t>Single phase</t>
  </si>
  <si>
    <t>Density of the fluid</t>
  </si>
  <si>
    <t>Viscosity of the fluid</t>
  </si>
  <si>
    <t>Mass flow rate of the fluid</t>
  </si>
  <si>
    <t>Mass flow rate of the vapour</t>
  </si>
  <si>
    <t>Mass flow rate of the liquid</t>
  </si>
  <si>
    <t>Density of the liquid</t>
  </si>
  <si>
    <t>Density of the vapour</t>
  </si>
  <si>
    <t>Viscosity of the liquid</t>
  </si>
  <si>
    <t>Surface tension of liquid</t>
  </si>
  <si>
    <t xml:space="preserve"> </t>
  </si>
  <si>
    <t>N/A</t>
  </si>
  <si>
    <t>A =</t>
  </si>
  <si>
    <t>B =</t>
  </si>
  <si>
    <t>Bx =</t>
  </si>
  <si>
    <t>By =</t>
  </si>
  <si>
    <t>ft/sec</t>
  </si>
  <si>
    <t>lb/ft3</t>
  </si>
  <si>
    <t>Viscosity of the vapour</t>
  </si>
  <si>
    <t>D =</t>
  </si>
  <si>
    <t>Q =</t>
  </si>
  <si>
    <t>U =</t>
  </si>
  <si>
    <t>E =</t>
  </si>
  <si>
    <t>Nre =</t>
  </si>
  <si>
    <t>W =</t>
  </si>
  <si>
    <t>P =</t>
  </si>
  <si>
    <t>Relative Rougness of the pipe</t>
  </si>
  <si>
    <t xml:space="preserve">Multi-phase </t>
  </si>
  <si>
    <t>Flow type:</t>
  </si>
  <si>
    <t>Pipe inside diameter</t>
  </si>
  <si>
    <t>CDS - DELTA-P CALCULATIONS FOR SINGLE AND MULTI-PHASE FLOWS</t>
  </si>
  <si>
    <t>Reynold's No. , Nre =</t>
  </si>
  <si>
    <t>Friction factor, f =</t>
  </si>
  <si>
    <t>Pressure drop, P =</t>
  </si>
  <si>
    <t>Velocity, U =</t>
  </si>
  <si>
    <t>(pro V*pro L)^.5 =</t>
  </si>
  <si>
    <t>(pro V)^.5 =</t>
  </si>
  <si>
    <t xml:space="preserve">Flow regime is  </t>
  </si>
  <si>
    <t>Now,</t>
  </si>
  <si>
    <t>H =</t>
  </si>
  <si>
    <t>V =</t>
  </si>
  <si>
    <t>T =</t>
  </si>
  <si>
    <t>Z =</t>
  </si>
  <si>
    <t>Avg. fluid density, D =</t>
  </si>
  <si>
    <t>Total flow rate, Q =</t>
  </si>
  <si>
    <t>lb/hr</t>
  </si>
  <si>
    <t>Z=&lt;.1</t>
  </si>
  <si>
    <t>Z=&lt;.5</t>
  </si>
  <si>
    <t>M =</t>
  </si>
  <si>
    <t>Thus, M =</t>
  </si>
  <si>
    <t>Since Z =</t>
  </si>
  <si>
    <t>Prssure Drop =</t>
  </si>
  <si>
    <t>C =</t>
  </si>
  <si>
    <t>Annular</t>
  </si>
  <si>
    <t>Dispersed</t>
  </si>
  <si>
    <t>I&lt;=10</t>
  </si>
  <si>
    <t>Else</t>
  </si>
  <si>
    <t>For  I =</t>
  </si>
  <si>
    <t>Slug</t>
  </si>
  <si>
    <t>Bubble</t>
  </si>
  <si>
    <t>Cond</t>
  </si>
  <si>
    <t>psi/100 ft. of pipe</t>
  </si>
  <si>
    <t>Phi SQ =</t>
  </si>
  <si>
    <t>Selection of regime</t>
  </si>
  <si>
    <t>Delta P =</t>
  </si>
  <si>
    <t>psi</t>
  </si>
  <si>
    <t>Dispersed/Annular/Slug/Bubble</t>
  </si>
  <si>
    <t>Results:</t>
  </si>
  <si>
    <t>Input Data</t>
  </si>
  <si>
    <t>Client</t>
  </si>
  <si>
    <t>Location</t>
  </si>
  <si>
    <t>Item No.</t>
  </si>
  <si>
    <t>Revision No.</t>
  </si>
  <si>
    <t>Date</t>
  </si>
  <si>
    <t>General Information</t>
  </si>
  <si>
    <t>JOB</t>
  </si>
  <si>
    <t>CLIENT</t>
  </si>
  <si>
    <t>ITEM NO.</t>
  </si>
  <si>
    <t>LOCATION</t>
  </si>
  <si>
    <t>Pune</t>
  </si>
  <si>
    <t>DESIGN ENGINEER    / Rev.#</t>
  </si>
  <si>
    <t xml:space="preserve">Phase of flow </t>
  </si>
  <si>
    <t xml:space="preserve">Velocity </t>
  </si>
  <si>
    <t xml:space="preserve">Pressure drop </t>
  </si>
  <si>
    <t>psi/100ft of pipe</t>
  </si>
  <si>
    <t>m/sec</t>
  </si>
  <si>
    <t>bar/m of pipe</t>
  </si>
  <si>
    <t>Realative Pipe roughness=</t>
  </si>
  <si>
    <t>mm</t>
  </si>
  <si>
    <t>Pressure drop calculation of Single or Multiphase Vapor Liquid Flow:  Results</t>
  </si>
  <si>
    <t>DELTA-P CALCULATIONS FOR SINGLE AND MULTI-PHASE VAPOR-LIQUID FLOWS</t>
  </si>
  <si>
    <t>MP DP calculation</t>
  </si>
  <si>
    <t>XYZ</t>
  </si>
  <si>
    <t>Line#101</t>
  </si>
  <si>
    <t>abc</t>
  </si>
  <si>
    <t>flow</t>
  </si>
  <si>
    <t>Design Engr</t>
  </si>
</sst>
</file>

<file path=xl/styles.xml><?xml version="1.0" encoding="utf-8"?>
<styleSheet xmlns="http://schemas.openxmlformats.org/spreadsheetml/2006/main">
  <numFmts count="4">
    <numFmt numFmtId="164" formatCode="0.00000"/>
    <numFmt numFmtId="165" formatCode="0.0000E+00"/>
    <numFmt numFmtId="166" formatCode="0.0000"/>
    <numFmt numFmtId="167" formatCode="[$-409]d\-mmm\-yy;@"/>
  </numFmts>
  <fonts count="25">
    <font>
      <sz val="10"/>
      <name val="Arial"/>
    </font>
    <font>
      <sz val="10"/>
      <color indexed="42"/>
      <name val="Arial"/>
      <family val="2"/>
    </font>
    <font>
      <b/>
      <sz val="10"/>
      <color indexed="21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u/>
      <sz val="9"/>
      <color indexed="9"/>
      <name val="Arial"/>
      <family val="2"/>
    </font>
    <font>
      <sz val="8"/>
      <color indexed="9"/>
      <name val="Arial"/>
      <family val="2"/>
    </font>
    <font>
      <sz val="10"/>
      <color indexed="10"/>
      <name val="Arial"/>
      <family val="2"/>
    </font>
    <font>
      <sz val="7"/>
      <color indexed="10"/>
      <name val="Arial"/>
      <family val="2"/>
    </font>
    <font>
      <b/>
      <sz val="11"/>
      <color indexed="9"/>
      <name val="Arial"/>
      <family val="2"/>
    </font>
    <font>
      <b/>
      <sz val="11"/>
      <color indexed="42"/>
      <name val="Arial"/>
      <family val="2"/>
    </font>
    <font>
      <sz val="11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42"/>
      <name val="Arial"/>
      <family val="2"/>
    </font>
    <font>
      <sz val="10"/>
      <color indexed="21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color indexed="9"/>
      <name val="Tahoma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sz val="10"/>
      <color theme="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b/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17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0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0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1" fillId="2" borderId="0" xfId="0" applyFont="1" applyFill="1" applyBorder="1" applyAlignment="1">
      <alignment horizontal="center"/>
    </xf>
    <xf numFmtId="0" fontId="0" fillId="2" borderId="0" xfId="0" applyFill="1" applyBorder="1"/>
    <xf numFmtId="0" fontId="4" fillId="2" borderId="0" xfId="0" applyFont="1" applyFill="1" applyBorder="1"/>
    <xf numFmtId="11" fontId="1" fillId="2" borderId="0" xfId="0" applyNumberFormat="1" applyFont="1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/>
    <xf numFmtId="0" fontId="0" fillId="2" borderId="3" xfId="0" applyFill="1" applyBorder="1"/>
    <xf numFmtId="0" fontId="0" fillId="0" borderId="0" xfId="0" applyFill="1" applyBorder="1"/>
    <xf numFmtId="0" fontId="7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11" fontId="0" fillId="0" borderId="0" xfId="0" applyNumberFormat="1"/>
    <xf numFmtId="0" fontId="4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right"/>
    </xf>
    <xf numFmtId="0" fontId="0" fillId="2" borderId="8" xfId="0" applyFill="1" applyBorder="1"/>
    <xf numFmtId="0" fontId="0" fillId="2" borderId="9" xfId="0" applyFill="1" applyBorder="1" applyAlignment="1">
      <alignment horizontal="right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2" xfId="0" applyFill="1" applyBorder="1" applyAlignment="1">
      <alignment horizontal="right"/>
    </xf>
    <xf numFmtId="0" fontId="0" fillId="2" borderId="13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0" fillId="2" borderId="14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>
      <alignment horizontal="right"/>
    </xf>
    <xf numFmtId="0" fontId="0" fillId="2" borderId="2" xfId="0" applyFill="1" applyBorder="1"/>
    <xf numFmtId="0" fontId="0" fillId="2" borderId="15" xfId="0" applyFill="1" applyBorder="1"/>
    <xf numFmtId="0" fontId="0" fillId="2" borderId="5" xfId="0" applyFill="1" applyBorder="1"/>
    <xf numFmtId="0" fontId="0" fillId="2" borderId="16" xfId="0" applyFill="1" applyBorder="1"/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0" fillId="2" borderId="17" xfId="0" applyFill="1" applyBorder="1"/>
    <xf numFmtId="0" fontId="0" fillId="2" borderId="18" xfId="0" applyFill="1" applyBorder="1" applyAlignment="1">
      <alignment horizontal="right"/>
    </xf>
    <xf numFmtId="0" fontId="0" fillId="2" borderId="4" xfId="0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3" fillId="2" borderId="3" xfId="0" applyFont="1" applyFill="1" applyBorder="1" applyAlignment="1">
      <alignment horizontal="right"/>
    </xf>
    <xf numFmtId="0" fontId="3" fillId="2" borderId="3" xfId="0" applyFont="1" applyFill="1" applyBorder="1"/>
    <xf numFmtId="0" fontId="3" fillId="2" borderId="0" xfId="0" applyFont="1" applyFill="1" applyBorder="1" applyAlignment="1">
      <alignment horizontal="center"/>
    </xf>
    <xf numFmtId="11" fontId="12" fillId="2" borderId="0" xfId="0" applyNumberFormat="1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center"/>
    </xf>
    <xf numFmtId="0" fontId="0" fillId="2" borderId="0" xfId="0" applyFill="1" applyBorder="1" applyAlignment="1"/>
    <xf numFmtId="11" fontId="15" fillId="2" borderId="0" xfId="0" applyNumberFormat="1" applyFont="1" applyFill="1" applyBorder="1" applyAlignment="1">
      <alignment horizontal="center"/>
    </xf>
    <xf numFmtId="0" fontId="15" fillId="2" borderId="0" xfId="0" applyFont="1" applyFill="1" applyBorder="1" applyAlignment="1">
      <alignment horizontal="center"/>
    </xf>
    <xf numFmtId="0" fontId="4" fillId="0" borderId="0" xfId="1">
      <alignment vertical="center"/>
    </xf>
    <xf numFmtId="0" fontId="17" fillId="0" borderId="19" xfId="1" applyFont="1" applyBorder="1">
      <alignment vertical="center"/>
    </xf>
    <xf numFmtId="0" fontId="17" fillId="0" borderId="0" xfId="1" applyFont="1" applyBorder="1">
      <alignment vertical="center"/>
    </xf>
    <xf numFmtId="0" fontId="17" fillId="0" borderId="20" xfId="1" applyFont="1" applyBorder="1">
      <alignment vertical="center"/>
    </xf>
    <xf numFmtId="0" fontId="16" fillId="0" borderId="19" xfId="1" applyFont="1" applyBorder="1">
      <alignment vertical="center"/>
    </xf>
    <xf numFmtId="0" fontId="18" fillId="0" borderId="0" xfId="1" applyFont="1">
      <alignment vertical="center"/>
    </xf>
    <xf numFmtId="0" fontId="4" fillId="0" borderId="19" xfId="1" applyBorder="1">
      <alignment vertical="center"/>
    </xf>
    <xf numFmtId="0" fontId="3" fillId="0" borderId="19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4" fillId="0" borderId="0" xfId="1" applyBorder="1">
      <alignment vertical="center"/>
    </xf>
    <xf numFmtId="0" fontId="17" fillId="0" borderId="0" xfId="1" applyFont="1" applyFill="1" applyBorder="1">
      <alignment vertical="center"/>
    </xf>
    <xf numFmtId="0" fontId="17" fillId="0" borderId="20" xfId="1" applyFont="1" applyFill="1" applyBorder="1">
      <alignment vertical="center"/>
    </xf>
    <xf numFmtId="0" fontId="3" fillId="0" borderId="21" xfId="0" applyFont="1" applyFill="1" applyBorder="1" applyAlignment="1">
      <alignment horizontal="left"/>
    </xf>
    <xf numFmtId="0" fontId="3" fillId="0" borderId="22" xfId="0" applyFont="1" applyFill="1" applyBorder="1" applyAlignment="1">
      <alignment horizontal="left"/>
    </xf>
    <xf numFmtId="0" fontId="18" fillId="0" borderId="23" xfId="1" applyFont="1" applyBorder="1">
      <alignment vertical="center"/>
    </xf>
    <xf numFmtId="0" fontId="18" fillId="0" borderId="24" xfId="1" applyFont="1" applyBorder="1">
      <alignment vertical="center"/>
    </xf>
    <xf numFmtId="0" fontId="3" fillId="2" borderId="0" xfId="0" applyFont="1" applyFill="1" applyBorder="1"/>
    <xf numFmtId="0" fontId="3" fillId="2" borderId="7" xfId="0" applyFont="1" applyFill="1" applyBorder="1"/>
    <xf numFmtId="0" fontId="19" fillId="2" borderId="0" xfId="0" applyFont="1" applyFill="1" applyBorder="1" applyAlignment="1">
      <alignment horizontal="center"/>
    </xf>
    <xf numFmtId="0" fontId="0" fillId="2" borderId="0" xfId="0" applyFill="1"/>
    <xf numFmtId="0" fontId="3" fillId="2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Border="1" applyAlignment="1"/>
    <xf numFmtId="0" fontId="19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4" fillId="0" borderId="0" xfId="1" applyBorder="1" applyAlignment="1">
      <alignment vertical="center"/>
    </xf>
    <xf numFmtId="0" fontId="17" fillId="0" borderId="0" xfId="1" applyFont="1" applyBorder="1" applyAlignment="1">
      <alignment vertical="center"/>
    </xf>
    <xf numFmtId="0" fontId="17" fillId="0" borderId="20" xfId="1" applyFont="1" applyBorder="1" applyAlignment="1">
      <alignment vertical="center"/>
    </xf>
    <xf numFmtId="0" fontId="17" fillId="0" borderId="19" xfId="1" applyFont="1" applyBorder="1" applyAlignment="1">
      <alignment vertical="center"/>
    </xf>
    <xf numFmtId="0" fontId="3" fillId="0" borderId="0" xfId="0" applyFont="1" applyFill="1" applyBorder="1" applyAlignment="1">
      <alignment horizontal="left"/>
    </xf>
    <xf numFmtId="0" fontId="3" fillId="0" borderId="0" xfId="1" applyFont="1" applyBorder="1" applyAlignment="1">
      <alignment horizontal="left" vertical="center"/>
    </xf>
    <xf numFmtId="0" fontId="17" fillId="0" borderId="0" xfId="1" applyFont="1" applyBorder="1" applyAlignment="1">
      <alignment horizontal="left" vertical="center"/>
    </xf>
    <xf numFmtId="0" fontId="3" fillId="0" borderId="19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/>
    </xf>
    <xf numFmtId="0" fontId="21" fillId="2" borderId="0" xfId="0" applyFont="1" applyFill="1" applyBorder="1"/>
    <xf numFmtId="0" fontId="21" fillId="2" borderId="7" xfId="0" applyFont="1" applyFill="1" applyBorder="1"/>
    <xf numFmtId="0" fontId="21" fillId="2" borderId="0" xfId="0" applyFont="1" applyFill="1" applyBorder="1" applyAlignment="1"/>
    <xf numFmtId="0" fontId="22" fillId="2" borderId="0" xfId="0" applyFont="1" applyFill="1" applyBorder="1" applyAlignment="1">
      <alignment horizontal="center"/>
    </xf>
    <xf numFmtId="11" fontId="21" fillId="2" borderId="0" xfId="0" applyNumberFormat="1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11" fontId="21" fillId="2" borderId="7" xfId="0" applyNumberFormat="1" applyFont="1" applyFill="1" applyBorder="1" applyAlignment="1">
      <alignment horizontal="center"/>
    </xf>
    <xf numFmtId="164" fontId="17" fillId="0" borderId="0" xfId="1" applyNumberFormat="1" applyFont="1" applyBorder="1" applyAlignment="1">
      <alignment horizontal="left" vertical="center"/>
    </xf>
    <xf numFmtId="165" fontId="17" fillId="0" borderId="0" xfId="1" applyNumberFormat="1" applyFont="1" applyBorder="1" applyAlignment="1">
      <alignment horizontal="left" vertical="center"/>
    </xf>
    <xf numFmtId="0" fontId="21" fillId="2" borderId="3" xfId="0" applyFont="1" applyFill="1" applyBorder="1" applyAlignment="1">
      <alignment horizontal="right"/>
    </xf>
    <xf numFmtId="166" fontId="17" fillId="0" borderId="0" xfId="1" applyNumberFormat="1" applyFont="1" applyBorder="1" applyAlignment="1">
      <alignment horizontal="left" vertical="center"/>
    </xf>
    <xf numFmtId="0" fontId="3" fillId="0" borderId="25" xfId="0" applyFont="1" applyFill="1" applyBorder="1" applyAlignment="1">
      <alignment horizontal="left"/>
    </xf>
    <xf numFmtId="0" fontId="23" fillId="2" borderId="7" xfId="0" applyFont="1" applyFill="1" applyBorder="1" applyAlignment="1">
      <alignment horizontal="center"/>
    </xf>
    <xf numFmtId="11" fontId="23" fillId="2" borderId="7" xfId="0" applyNumberFormat="1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3" fillId="6" borderId="26" xfId="0" applyFont="1" applyFill="1" applyBorder="1" applyAlignment="1">
      <alignment horizontal="center"/>
    </xf>
    <xf numFmtId="0" fontId="3" fillId="6" borderId="27" xfId="0" applyFont="1" applyFill="1" applyBorder="1" applyAlignment="1">
      <alignment horizontal="left"/>
    </xf>
    <xf numFmtId="0" fontId="2" fillId="3" borderId="36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21" fillId="4" borderId="28" xfId="0" applyFont="1" applyFill="1" applyBorder="1" applyAlignment="1">
      <alignment horizontal="left"/>
    </xf>
    <xf numFmtId="0" fontId="21" fillId="4" borderId="21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3" fillId="6" borderId="9" xfId="0" applyFont="1" applyFill="1" applyBorder="1" applyAlignment="1">
      <alignment horizontal="left"/>
    </xf>
    <xf numFmtId="0" fontId="3" fillId="6" borderId="39" xfId="0" applyFont="1" applyFill="1" applyBorder="1" applyAlignment="1">
      <alignment horizontal="left"/>
    </xf>
    <xf numFmtId="0" fontId="21" fillId="4" borderId="36" xfId="0" applyFont="1" applyFill="1" applyBorder="1" applyAlignment="1">
      <alignment horizontal="left"/>
    </xf>
    <xf numFmtId="0" fontId="21" fillId="4" borderId="37" xfId="0" applyFont="1" applyFill="1" applyBorder="1" applyAlignment="1">
      <alignment horizontal="left"/>
    </xf>
    <xf numFmtId="0" fontId="21" fillId="4" borderId="38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3" fillId="6" borderId="21" xfId="0" applyFont="1" applyFill="1" applyBorder="1" applyAlignment="1">
      <alignment horizontal="left"/>
    </xf>
    <xf numFmtId="0" fontId="3" fillId="6" borderId="29" xfId="0" applyFont="1" applyFill="1" applyBorder="1" applyAlignment="1">
      <alignment horizontal="left"/>
    </xf>
    <xf numFmtId="0" fontId="3" fillId="6" borderId="28" xfId="0" applyFont="1" applyFill="1" applyBorder="1" applyAlignment="1">
      <alignment horizontal="left"/>
    </xf>
    <xf numFmtId="0" fontId="24" fillId="4" borderId="30" xfId="0" applyFont="1" applyFill="1" applyBorder="1" applyAlignment="1">
      <alignment horizontal="left"/>
    </xf>
    <xf numFmtId="0" fontId="24" fillId="4" borderId="31" xfId="0" applyFont="1" applyFill="1" applyBorder="1" applyAlignment="1">
      <alignment horizontal="left"/>
    </xf>
    <xf numFmtId="0" fontId="24" fillId="4" borderId="32" xfId="0" applyFont="1" applyFill="1" applyBorder="1" applyAlignment="1">
      <alignment horizontal="left"/>
    </xf>
    <xf numFmtId="0" fontId="21" fillId="4" borderId="33" xfId="0" applyFont="1" applyFill="1" applyBorder="1" applyAlignment="1">
      <alignment horizontal="left"/>
    </xf>
    <xf numFmtId="0" fontId="21" fillId="4" borderId="34" xfId="0" applyFont="1" applyFill="1" applyBorder="1" applyAlignment="1">
      <alignment horizontal="left"/>
    </xf>
    <xf numFmtId="0" fontId="21" fillId="4" borderId="35" xfId="0" applyFont="1" applyFill="1" applyBorder="1" applyAlignment="1">
      <alignment horizontal="left"/>
    </xf>
    <xf numFmtId="0" fontId="20" fillId="6" borderId="34" xfId="0" applyFont="1" applyFill="1" applyBorder="1" applyAlignment="1">
      <alignment horizontal="left"/>
    </xf>
    <xf numFmtId="0" fontId="20" fillId="6" borderId="35" xfId="0" applyFont="1" applyFill="1" applyBorder="1" applyAlignment="1">
      <alignment horizontal="left"/>
    </xf>
    <xf numFmtId="0" fontId="21" fillId="2" borderId="0" xfId="0" applyFont="1" applyFill="1" applyBorder="1" applyAlignment="1">
      <alignment horizontal="right"/>
    </xf>
    <xf numFmtId="0" fontId="24" fillId="2" borderId="0" xfId="0" applyFont="1" applyFill="1" applyBorder="1" applyAlignment="1">
      <alignment horizontal="left"/>
    </xf>
    <xf numFmtId="0" fontId="24" fillId="2" borderId="7" xfId="0" applyFont="1" applyFill="1" applyBorder="1" applyAlignment="1">
      <alignment horizontal="left"/>
    </xf>
    <xf numFmtId="0" fontId="10" fillId="2" borderId="3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0" fontId="4" fillId="2" borderId="3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1" fillId="2" borderId="0" xfId="0" applyFont="1" applyFill="1" applyBorder="1" applyAlignment="1">
      <alignment horizontal="right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right"/>
    </xf>
    <xf numFmtId="0" fontId="14" fillId="2" borderId="3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left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16" fillId="0" borderId="49" xfId="1" applyFont="1" applyBorder="1" applyAlignment="1">
      <alignment horizontal="center" vertical="center"/>
    </xf>
    <xf numFmtId="0" fontId="16" fillId="0" borderId="50" xfId="1" applyFont="1" applyBorder="1" applyAlignment="1">
      <alignment horizontal="center" vertical="center"/>
    </xf>
    <xf numFmtId="0" fontId="16" fillId="0" borderId="51" xfId="1" applyFont="1" applyBorder="1" applyAlignment="1">
      <alignment horizontal="center" vertical="center"/>
    </xf>
    <xf numFmtId="0" fontId="19" fillId="0" borderId="0" xfId="0" applyFont="1" applyFill="1" applyBorder="1" applyAlignment="1">
      <alignment horizontal="left"/>
    </xf>
    <xf numFmtId="0" fontId="3" fillId="0" borderId="43" xfId="0" applyFont="1" applyFill="1" applyBorder="1" applyAlignment="1">
      <alignment horizontal="right"/>
    </xf>
    <xf numFmtId="0" fontId="3" fillId="0" borderId="43" xfId="0" applyFont="1" applyFill="1" applyBorder="1" applyAlignment="1">
      <alignment horizontal="left"/>
    </xf>
    <xf numFmtId="0" fontId="3" fillId="0" borderId="44" xfId="0" applyFont="1" applyFill="1" applyBorder="1" applyAlignment="1">
      <alignment horizontal="left"/>
    </xf>
    <xf numFmtId="0" fontId="3" fillId="0" borderId="19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3" fillId="0" borderId="41" xfId="0" applyFont="1" applyFill="1" applyBorder="1" applyAlignment="1">
      <alignment horizontal="right"/>
    </xf>
    <xf numFmtId="167" fontId="3" fillId="0" borderId="41" xfId="0" applyNumberFormat="1" applyFont="1" applyFill="1" applyBorder="1" applyAlignment="1">
      <alignment horizontal="left"/>
    </xf>
    <xf numFmtId="167" fontId="3" fillId="0" borderId="42" xfId="0" applyNumberFormat="1" applyFont="1" applyFill="1" applyBorder="1" applyAlignment="1">
      <alignment horizontal="left"/>
    </xf>
    <xf numFmtId="0" fontId="3" fillId="0" borderId="45" xfId="0" applyFont="1" applyFill="1" applyBorder="1" applyAlignment="1">
      <alignment horizontal="left"/>
    </xf>
    <xf numFmtId="0" fontId="3" fillId="0" borderId="46" xfId="0" applyFont="1" applyFill="1" applyBorder="1" applyAlignment="1">
      <alignment horizontal="left"/>
    </xf>
    <xf numFmtId="0" fontId="3" fillId="0" borderId="47" xfId="0" applyFont="1" applyFill="1" applyBorder="1" applyAlignment="1">
      <alignment horizontal="left"/>
    </xf>
    <xf numFmtId="0" fontId="3" fillId="0" borderId="48" xfId="0" applyFont="1" applyFill="1" applyBorder="1" applyAlignment="1">
      <alignment horizontal="left"/>
    </xf>
  </cellXfs>
  <cellStyles count="2">
    <cellStyle name="Normal" xfId="0" builtinId="0"/>
    <cellStyle name="Normal_SP-DELP-FINAL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45"/>
  <sheetViews>
    <sheetView workbookViewId="0">
      <selection activeCell="E12" sqref="E12"/>
    </sheetView>
  </sheetViews>
  <sheetFormatPr defaultRowHeight="12.75"/>
  <sheetData>
    <row r="1" spans="1:12">
      <c r="A1" s="1"/>
      <c r="B1" s="2"/>
      <c r="C1" s="2"/>
      <c r="D1" s="2"/>
      <c r="E1" s="2"/>
      <c r="F1" s="2"/>
      <c r="G1" s="2"/>
      <c r="H1" s="2"/>
      <c r="I1" s="2"/>
      <c r="J1" s="42"/>
      <c r="K1" s="42"/>
      <c r="L1" s="43"/>
    </row>
    <row r="2" spans="1:12" ht="13.5" thickBot="1">
      <c r="A2" s="117" t="s">
        <v>30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9"/>
    </row>
    <row r="3" spans="1:12">
      <c r="A3" s="54"/>
      <c r="B3" s="82"/>
      <c r="C3" s="82"/>
      <c r="D3" s="82"/>
      <c r="E3" s="82"/>
      <c r="F3" s="82"/>
      <c r="G3" s="82"/>
      <c r="H3" s="82"/>
      <c r="I3" s="82"/>
      <c r="J3" s="82"/>
      <c r="K3" s="82"/>
      <c r="L3" s="83"/>
    </row>
    <row r="4" spans="1:12">
      <c r="A4" s="54"/>
      <c r="B4" s="82"/>
      <c r="C4" s="82"/>
      <c r="D4" s="82"/>
      <c r="E4" s="82"/>
      <c r="F4" s="82"/>
      <c r="G4" s="82"/>
      <c r="H4" s="82"/>
      <c r="I4" s="82"/>
      <c r="J4" s="82"/>
      <c r="K4" s="82"/>
      <c r="L4" s="83"/>
    </row>
    <row r="5" spans="1:12" ht="13.5" thickBot="1">
      <c r="A5" s="54"/>
      <c r="B5" s="82"/>
      <c r="C5" s="82"/>
      <c r="D5" s="82"/>
      <c r="E5" s="82"/>
      <c r="F5" s="82"/>
      <c r="G5" s="82"/>
      <c r="H5" s="82"/>
      <c r="I5" s="82"/>
      <c r="J5" s="82"/>
      <c r="K5" s="82"/>
      <c r="L5" s="83"/>
    </row>
    <row r="6" spans="1:12" ht="13.5" thickBot="1">
      <c r="A6" s="132" t="s">
        <v>74</v>
      </c>
      <c r="B6" s="133"/>
      <c r="C6" s="134"/>
      <c r="D6" s="132" t="s">
        <v>68</v>
      </c>
      <c r="E6" s="133"/>
      <c r="F6" s="134"/>
      <c r="G6" s="84"/>
      <c r="H6" s="82"/>
      <c r="I6" s="82"/>
      <c r="J6" s="82"/>
      <c r="K6" s="82"/>
      <c r="L6" s="83"/>
    </row>
    <row r="7" spans="1:12">
      <c r="A7" s="135" t="s">
        <v>75</v>
      </c>
      <c r="B7" s="136"/>
      <c r="C7" s="137"/>
      <c r="D7" s="138" t="s">
        <v>91</v>
      </c>
      <c r="E7" s="138"/>
      <c r="F7" s="139"/>
      <c r="G7" s="85"/>
      <c r="H7" s="85"/>
      <c r="I7" s="82"/>
      <c r="J7" s="82"/>
      <c r="K7" s="82"/>
      <c r="L7" s="83"/>
    </row>
    <row r="8" spans="1:12">
      <c r="A8" s="120" t="s">
        <v>76</v>
      </c>
      <c r="B8" s="121"/>
      <c r="C8" s="122"/>
      <c r="D8" s="129" t="s">
        <v>92</v>
      </c>
      <c r="E8" s="129"/>
      <c r="F8" s="130"/>
      <c r="G8" s="85"/>
      <c r="H8" s="85"/>
      <c r="I8" s="82"/>
      <c r="J8" s="82"/>
      <c r="K8" s="82"/>
      <c r="L8" s="83"/>
    </row>
    <row r="9" spans="1:12">
      <c r="A9" s="120" t="s">
        <v>77</v>
      </c>
      <c r="B9" s="121"/>
      <c r="C9" s="122"/>
      <c r="D9" s="131" t="s">
        <v>93</v>
      </c>
      <c r="E9" s="129"/>
      <c r="F9" s="130"/>
      <c r="G9" s="85"/>
      <c r="H9" s="85"/>
      <c r="I9" s="82"/>
      <c r="J9" s="82"/>
      <c r="K9" s="82"/>
      <c r="L9" s="83"/>
    </row>
    <row r="10" spans="1:12" ht="13.5" thickBot="1">
      <c r="A10" s="120" t="s">
        <v>78</v>
      </c>
      <c r="B10" s="121"/>
      <c r="C10" s="122"/>
      <c r="D10" s="123" t="s">
        <v>79</v>
      </c>
      <c r="E10" s="123"/>
      <c r="F10" s="124"/>
      <c r="G10" s="85"/>
      <c r="H10" s="85"/>
      <c r="I10" s="82"/>
      <c r="J10" s="82"/>
      <c r="K10" s="82"/>
      <c r="L10" s="83"/>
    </row>
    <row r="11" spans="1:12" ht="13.5" thickBot="1">
      <c r="A11" s="125" t="s">
        <v>80</v>
      </c>
      <c r="B11" s="126"/>
      <c r="C11" s="127"/>
      <c r="D11" s="116" t="s">
        <v>94</v>
      </c>
      <c r="E11" s="115">
        <v>0</v>
      </c>
      <c r="F11" s="86"/>
      <c r="G11" s="55"/>
      <c r="H11" s="82"/>
      <c r="I11" s="82"/>
      <c r="J11" s="82"/>
      <c r="K11" s="82"/>
      <c r="L11" s="83"/>
    </row>
    <row r="12" spans="1:12">
      <c r="A12" s="128"/>
      <c r="B12" s="128"/>
      <c r="C12" s="128"/>
      <c r="D12" s="55"/>
      <c r="E12" s="87"/>
      <c r="F12" s="87"/>
      <c r="G12" s="55"/>
      <c r="H12" s="82"/>
      <c r="I12" s="82"/>
      <c r="J12" s="82"/>
      <c r="K12" s="82"/>
      <c r="L12" s="83"/>
    </row>
    <row r="13" spans="1:12">
      <c r="A13" s="128"/>
      <c r="B13" s="128"/>
      <c r="C13" s="128"/>
      <c r="D13" s="55"/>
      <c r="E13" s="87"/>
      <c r="F13" s="87"/>
      <c r="G13" s="55"/>
      <c r="H13" s="82"/>
      <c r="I13" s="82"/>
      <c r="J13" s="82"/>
      <c r="K13" s="82"/>
      <c r="L13" s="83"/>
    </row>
    <row r="14" spans="1:12">
      <c r="A14" s="85"/>
      <c r="B14" s="85"/>
      <c r="C14" s="85"/>
      <c r="D14" s="85"/>
      <c r="E14" s="85"/>
      <c r="F14" s="85"/>
      <c r="G14" s="55"/>
      <c r="H14" s="82"/>
      <c r="I14" s="82"/>
      <c r="J14" s="82"/>
      <c r="K14" s="82"/>
      <c r="L14" s="83"/>
    </row>
    <row r="15" spans="1:12">
      <c r="A15" s="85"/>
      <c r="B15" s="85"/>
      <c r="C15" s="85"/>
      <c r="D15" s="85"/>
      <c r="E15" s="85"/>
      <c r="F15" s="85"/>
      <c r="G15" s="88"/>
      <c r="H15" s="82"/>
      <c r="I15" s="82"/>
      <c r="J15" s="82"/>
      <c r="K15" s="82"/>
      <c r="L15" s="83"/>
    </row>
    <row r="16" spans="1:12">
      <c r="A16" s="85"/>
      <c r="B16" s="85"/>
      <c r="C16" s="85"/>
      <c r="D16" s="85"/>
      <c r="E16" s="85"/>
      <c r="F16" s="85"/>
      <c r="G16" s="88"/>
      <c r="H16" s="82"/>
      <c r="I16" s="82"/>
      <c r="J16" s="82"/>
      <c r="K16" s="82"/>
      <c r="L16" s="83"/>
    </row>
    <row r="17" spans="1:12">
      <c r="A17" s="85"/>
      <c r="B17" s="85"/>
      <c r="C17" s="85"/>
      <c r="D17" s="85"/>
      <c r="E17" s="85"/>
      <c r="F17" s="85"/>
      <c r="G17" s="88"/>
      <c r="H17" s="82"/>
      <c r="I17" s="82"/>
      <c r="J17" s="82"/>
      <c r="K17" s="82"/>
      <c r="L17" s="83"/>
    </row>
    <row r="18" spans="1:12">
      <c r="A18" s="85"/>
      <c r="B18" s="85"/>
      <c r="C18" s="85"/>
      <c r="D18" s="85"/>
      <c r="E18" s="85"/>
      <c r="F18" s="85"/>
      <c r="G18" s="88"/>
      <c r="H18" s="82"/>
      <c r="I18" s="82"/>
      <c r="J18" s="82"/>
      <c r="K18" s="82"/>
      <c r="L18" s="83"/>
    </row>
    <row r="19" spans="1:12">
      <c r="A19" s="85"/>
      <c r="B19" s="85"/>
      <c r="C19" s="85"/>
      <c r="D19" s="85"/>
      <c r="E19" s="85"/>
      <c r="F19" s="85"/>
      <c r="G19" s="88"/>
      <c r="H19" s="82"/>
      <c r="I19" s="82"/>
      <c r="J19" s="82"/>
      <c r="K19" s="82"/>
      <c r="L19" s="83"/>
    </row>
    <row r="20" spans="1:12">
      <c r="A20" s="54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3"/>
    </row>
    <row r="21" spans="1:12">
      <c r="A21" s="54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3"/>
    </row>
    <row r="22" spans="1:12">
      <c r="A22" s="54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3"/>
    </row>
    <row r="23" spans="1:12">
      <c r="A23" s="54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3"/>
    </row>
    <row r="24" spans="1:12">
      <c r="A24" s="54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3"/>
    </row>
    <row r="25" spans="1:12">
      <c r="A25" s="54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3"/>
    </row>
    <row r="26" spans="1:12">
      <c r="A26" s="54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3"/>
    </row>
    <row r="27" spans="1:12">
      <c r="A27" s="54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3"/>
    </row>
    <row r="28" spans="1:12">
      <c r="A28" s="54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3"/>
    </row>
    <row r="29" spans="1:12">
      <c r="A29" s="54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3"/>
    </row>
    <row r="30" spans="1:12">
      <c r="A30" s="54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3"/>
    </row>
    <row r="31" spans="1:12">
      <c r="A31" s="54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3"/>
    </row>
    <row r="32" spans="1:12">
      <c r="A32" s="54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3"/>
    </row>
    <row r="33" spans="1:12">
      <c r="A33" s="54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3"/>
    </row>
    <row r="34" spans="1:12">
      <c r="A34" s="54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3"/>
    </row>
    <row r="35" spans="1:12">
      <c r="A35" s="54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3"/>
    </row>
    <row r="36" spans="1:12">
      <c r="A36" s="54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3"/>
    </row>
    <row r="37" spans="1:12">
      <c r="A37" s="54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3"/>
    </row>
    <row r="38" spans="1:12">
      <c r="A38" s="54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3"/>
    </row>
    <row r="39" spans="1:12">
      <c r="A39" s="54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3"/>
    </row>
    <row r="40" spans="1:12">
      <c r="A40" s="54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3"/>
    </row>
    <row r="41" spans="1:12">
      <c r="A41" s="54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3"/>
    </row>
    <row r="42" spans="1:12">
      <c r="A42" s="54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3"/>
    </row>
    <row r="43" spans="1:12">
      <c r="A43" s="54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3"/>
    </row>
    <row r="44" spans="1:12">
      <c r="A44" s="82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</row>
    <row r="45" spans="1:1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</row>
  </sheetData>
  <mergeCells count="14">
    <mergeCell ref="A13:C13"/>
    <mergeCell ref="A2:L2"/>
    <mergeCell ref="A10:C10"/>
    <mergeCell ref="D10:F10"/>
    <mergeCell ref="A11:C11"/>
    <mergeCell ref="A12:C12"/>
    <mergeCell ref="A8:C8"/>
    <mergeCell ref="D8:F8"/>
    <mergeCell ref="A9:C9"/>
    <mergeCell ref="D9:F9"/>
    <mergeCell ref="A6:C6"/>
    <mergeCell ref="D6:F6"/>
    <mergeCell ref="A7:C7"/>
    <mergeCell ref="D7:F7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IV65536"/>
  <sheetViews>
    <sheetView workbookViewId="0">
      <selection activeCell="J14" sqref="J14"/>
    </sheetView>
  </sheetViews>
  <sheetFormatPr defaultRowHeight="12.75"/>
  <cols>
    <col min="5" max="5" width="9.42578125" bestFit="1" customWidth="1"/>
    <col min="11" max="11" width="10" bestFit="1" customWidth="1"/>
  </cols>
  <sheetData>
    <row r="1" spans="1:17">
      <c r="A1" s="1"/>
      <c r="B1" s="2"/>
      <c r="C1" s="2"/>
      <c r="D1" s="2"/>
      <c r="E1" s="2"/>
      <c r="F1" s="2"/>
      <c r="G1" s="2"/>
      <c r="H1" s="2"/>
      <c r="I1" s="2"/>
      <c r="J1" s="42"/>
      <c r="K1" s="42"/>
      <c r="L1" s="43"/>
    </row>
    <row r="2" spans="1:17" ht="13.5" thickBot="1">
      <c r="A2" s="117" t="s">
        <v>30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9"/>
    </row>
    <row r="3" spans="1:17">
      <c r="A3" s="3"/>
      <c r="B3" s="4"/>
      <c r="C3" s="4"/>
      <c r="D3" s="4"/>
      <c r="E3" s="4"/>
      <c r="F3" s="4"/>
      <c r="G3" s="4"/>
      <c r="H3" s="4"/>
      <c r="I3" s="4"/>
      <c r="J3" s="10"/>
      <c r="K3" s="10"/>
      <c r="L3" s="14"/>
      <c r="Q3" t="s">
        <v>27</v>
      </c>
    </row>
    <row r="4" spans="1:17">
      <c r="A4" s="3"/>
      <c r="B4" s="4"/>
      <c r="C4" s="4"/>
      <c r="D4" s="4"/>
      <c r="E4" s="4"/>
      <c r="F4" s="4"/>
      <c r="G4" s="4"/>
      <c r="H4" s="10"/>
      <c r="I4" s="4"/>
      <c r="J4" s="10"/>
      <c r="K4" s="10"/>
      <c r="L4" s="14"/>
      <c r="Q4" t="s">
        <v>0</v>
      </c>
    </row>
    <row r="5" spans="1:17" ht="15">
      <c r="A5" s="143" t="s">
        <v>28</v>
      </c>
      <c r="B5" s="144"/>
      <c r="C5" s="144"/>
      <c r="D5" s="144"/>
      <c r="E5" s="4">
        <f>IF(Q3="Single phase",1,2)</f>
        <v>2</v>
      </c>
      <c r="F5" s="4"/>
      <c r="G5" s="100"/>
      <c r="H5" s="100"/>
      <c r="I5" s="100"/>
      <c r="J5" s="100"/>
      <c r="K5" s="100"/>
      <c r="L5" s="101"/>
      <c r="Q5" t="s">
        <v>27</v>
      </c>
    </row>
    <row r="6" spans="1:17">
      <c r="A6" s="3"/>
      <c r="B6" s="4"/>
      <c r="C6" s="4"/>
      <c r="D6" s="4"/>
      <c r="E6" s="4"/>
      <c r="F6" s="4"/>
      <c r="G6" s="100" t="s">
        <v>87</v>
      </c>
      <c r="H6" s="100"/>
      <c r="I6" s="100"/>
      <c r="J6" s="100">
        <v>1</v>
      </c>
      <c r="K6" s="100" t="s">
        <v>88</v>
      </c>
      <c r="L6" s="101"/>
      <c r="N6" s="150" t="s">
        <v>26</v>
      </c>
      <c r="O6" s="150"/>
      <c r="P6" s="150"/>
      <c r="Q6" s="150"/>
    </row>
    <row r="7" spans="1:17">
      <c r="A7" s="60"/>
      <c r="B7" s="61"/>
      <c r="C7" s="61"/>
      <c r="D7" s="4"/>
      <c r="E7" s="4"/>
      <c r="F7" s="4"/>
      <c r="G7" s="100"/>
      <c r="H7" s="100"/>
      <c r="I7" s="100"/>
      <c r="J7" s="100"/>
      <c r="K7" s="104">
        <f>J6/1000</f>
        <v>1E-3</v>
      </c>
      <c r="L7" s="101"/>
      <c r="N7" s="147" t="s">
        <v>29</v>
      </c>
      <c r="O7" s="148"/>
      <c r="P7" s="148"/>
      <c r="Q7" s="148"/>
    </row>
    <row r="8" spans="1:17" ht="15" customHeight="1">
      <c r="A8" s="151" t="str">
        <f>IF(E5=1,"Input Values for Single Phase Flow:","")</f>
        <v/>
      </c>
      <c r="B8" s="152"/>
      <c r="C8" s="152"/>
      <c r="D8" s="152"/>
      <c r="E8" s="152"/>
      <c r="F8" s="152"/>
      <c r="G8" s="141" t="str">
        <f>IF(E5=2,"Input Values for Multi-phase Flow:","")</f>
        <v>Input Values for Multi-phase Flow:</v>
      </c>
      <c r="H8" s="141"/>
      <c r="I8" s="141"/>
      <c r="J8" s="141"/>
      <c r="K8" s="141"/>
      <c r="L8" s="142"/>
      <c r="N8" s="147" t="s">
        <v>1</v>
      </c>
      <c r="O8" s="148"/>
      <c r="P8" s="148"/>
      <c r="Q8" s="148"/>
    </row>
    <row r="9" spans="1:17" ht="14.25">
      <c r="A9" s="8"/>
      <c r="B9" s="7"/>
      <c r="C9" s="24"/>
      <c r="D9" s="24"/>
      <c r="E9" s="64">
        <f>D10/1000</f>
        <v>0</v>
      </c>
      <c r="F9" s="65">
        <f>D11/1000</f>
        <v>0</v>
      </c>
      <c r="G9" s="102"/>
      <c r="H9" s="102"/>
      <c r="I9" s="103"/>
      <c r="J9" s="103"/>
      <c r="K9" s="102"/>
      <c r="L9" s="112">
        <f>J11/1000</f>
        <v>0.1</v>
      </c>
      <c r="N9" s="8"/>
      <c r="O9" s="7"/>
      <c r="P9" s="7"/>
      <c r="Q9" s="7"/>
    </row>
    <row r="10" spans="1:17">
      <c r="A10" s="145"/>
      <c r="B10" s="146"/>
      <c r="C10" s="146"/>
      <c r="D10" s="12"/>
      <c r="E10" s="21"/>
      <c r="F10" s="64">
        <f>39.37008*E9</f>
        <v>0</v>
      </c>
      <c r="G10" s="140"/>
      <c r="H10" s="140"/>
      <c r="I10" s="140"/>
      <c r="J10" s="104"/>
      <c r="K10" s="102"/>
      <c r="L10" s="113">
        <f>39.37008*K7</f>
        <v>3.9370080000000002E-2</v>
      </c>
      <c r="N10" s="147" t="s">
        <v>2</v>
      </c>
      <c r="O10" s="148"/>
      <c r="P10" s="148"/>
      <c r="Q10" s="148"/>
    </row>
    <row r="11" spans="1:17">
      <c r="A11" s="145" t="str">
        <f>IF(E5=1,N7," ")</f>
        <v xml:space="preserve"> </v>
      </c>
      <c r="B11" s="146"/>
      <c r="C11" s="146"/>
      <c r="D11" s="114"/>
      <c r="E11" s="21" t="str">
        <f>IF(E5=1,"mm","")</f>
        <v/>
      </c>
      <c r="F11" s="64">
        <f>39.37008*F9</f>
        <v>0</v>
      </c>
      <c r="G11" s="140" t="str">
        <f>IF(E5=2,N16,"")</f>
        <v>Pipe inside diameter</v>
      </c>
      <c r="H11" s="140"/>
      <c r="I11" s="140"/>
      <c r="J11" s="114">
        <v>100</v>
      </c>
      <c r="K11" s="102" t="str">
        <f>IF(E5=2,"mm","")</f>
        <v>mm</v>
      </c>
      <c r="L11" s="113">
        <f>39.37008*L9</f>
        <v>3.9370080000000005</v>
      </c>
      <c r="N11" s="147" t="s">
        <v>3</v>
      </c>
      <c r="O11" s="148"/>
      <c r="P11" s="148"/>
      <c r="Q11" s="148"/>
    </row>
    <row r="12" spans="1:17">
      <c r="A12" s="145" t="str">
        <f>IF(E5=1,N8,"")</f>
        <v/>
      </c>
      <c r="B12" s="146"/>
      <c r="C12" s="146"/>
      <c r="D12" s="114"/>
      <c r="E12" s="21" t="str">
        <f>IF(E5=1,"kg/m3","")</f>
        <v/>
      </c>
      <c r="F12" s="65">
        <f>0.062426*D12</f>
        <v>0</v>
      </c>
      <c r="G12" s="140" t="str">
        <f>IF(E5=2,N17,"")</f>
        <v>Viscosity of the liquid</v>
      </c>
      <c r="H12" s="140"/>
      <c r="I12" s="140"/>
      <c r="J12" s="114">
        <v>1</v>
      </c>
      <c r="K12" s="102" t="str">
        <f>IF(E5=2,"cP","")</f>
        <v>cP</v>
      </c>
      <c r="L12" s="112">
        <f>J12</f>
        <v>1</v>
      </c>
      <c r="N12" s="147" t="s">
        <v>10</v>
      </c>
      <c r="O12" s="148"/>
      <c r="P12" s="148"/>
      <c r="Q12" s="148"/>
    </row>
    <row r="13" spans="1:17">
      <c r="A13" s="145" t="str">
        <f>IF(E5=1,N10,"")</f>
        <v/>
      </c>
      <c r="B13" s="146"/>
      <c r="C13" s="146"/>
      <c r="D13" s="114"/>
      <c r="E13" s="21" t="str">
        <f>IF(E5=1,"cP","")</f>
        <v/>
      </c>
      <c r="F13" s="65">
        <f>D13</f>
        <v>0</v>
      </c>
      <c r="G13" s="140" t="str">
        <f>IF(E5=2,N18,"")</f>
        <v>Mass flow rate of the vapour</v>
      </c>
      <c r="H13" s="140"/>
      <c r="I13" s="140"/>
      <c r="J13" s="114">
        <v>1000</v>
      </c>
      <c r="K13" s="102" t="str">
        <f>IF(E5=2,"kg/hr","")</f>
        <v>kg/hr</v>
      </c>
      <c r="L13" s="112">
        <f>2.20462*J13</f>
        <v>2204.62</v>
      </c>
      <c r="N13" s="147" t="s">
        <v>10</v>
      </c>
      <c r="O13" s="148"/>
      <c r="P13" s="148"/>
      <c r="Q13" s="148"/>
    </row>
    <row r="14" spans="1:17">
      <c r="A14" s="145" t="str">
        <f>IF(E5=1,N11,"")</f>
        <v/>
      </c>
      <c r="B14" s="146"/>
      <c r="C14" s="146"/>
      <c r="D14" s="114"/>
      <c r="E14" s="21" t="str">
        <f>IF(E5=1,"kg/hr","")</f>
        <v/>
      </c>
      <c r="F14" s="65">
        <f>2.20462*D14</f>
        <v>0</v>
      </c>
      <c r="G14" s="140" t="str">
        <f>IF(E5=2,N19,"")</f>
        <v>Mass flow rate of the liquid</v>
      </c>
      <c r="H14" s="140"/>
      <c r="I14" s="140"/>
      <c r="J14" s="114">
        <v>2000</v>
      </c>
      <c r="K14" s="102" t="str">
        <f>IF(E5=2,"kg/hr","")</f>
        <v>kg/hr</v>
      </c>
      <c r="L14" s="112">
        <f>2.20462*J14</f>
        <v>4409.24</v>
      </c>
      <c r="N14" s="147" t="s">
        <v>10</v>
      </c>
      <c r="O14" s="148"/>
      <c r="P14" s="148"/>
      <c r="Q14" s="148"/>
    </row>
    <row r="15" spans="1:17">
      <c r="A15" s="145"/>
      <c r="B15" s="146"/>
      <c r="C15" s="146"/>
      <c r="D15" s="23"/>
      <c r="E15" s="21"/>
      <c r="F15" s="10"/>
      <c r="G15" s="140" t="str">
        <f>IF(E5=2,N20,"")</f>
        <v>Density of the liquid</v>
      </c>
      <c r="H15" s="140"/>
      <c r="I15" s="140"/>
      <c r="J15" s="114">
        <v>800</v>
      </c>
      <c r="K15" s="102" t="str">
        <f>IF(E5=2,"kg/m3","")</f>
        <v>kg/m3</v>
      </c>
      <c r="L15" s="112">
        <f>0.062426*J15</f>
        <v>49.940800000000003</v>
      </c>
      <c r="N15" s="149" t="s">
        <v>10</v>
      </c>
      <c r="O15" s="149"/>
      <c r="P15" s="149"/>
      <c r="Q15" s="149"/>
    </row>
    <row r="16" spans="1:17">
      <c r="A16" s="145"/>
      <c r="B16" s="146"/>
      <c r="C16" s="146"/>
      <c r="D16" s="23"/>
      <c r="E16" s="21"/>
      <c r="F16" s="10"/>
      <c r="G16" s="140" t="str">
        <f>IF(E5=2,N21,"")</f>
        <v>Density of the vapour</v>
      </c>
      <c r="H16" s="140"/>
      <c r="I16" s="140"/>
      <c r="J16" s="114">
        <v>0.9</v>
      </c>
      <c r="K16" s="102" t="str">
        <f>IF(E5=2,"kg/m3","")</f>
        <v>kg/m3</v>
      </c>
      <c r="L16" s="112">
        <f>0.062426*J16</f>
        <v>5.6183400000000001E-2</v>
      </c>
      <c r="N16" s="147" t="s">
        <v>29</v>
      </c>
      <c r="O16" s="148"/>
      <c r="P16" s="148"/>
      <c r="Q16" s="148"/>
    </row>
    <row r="17" spans="1:17">
      <c r="A17" s="145"/>
      <c r="B17" s="146"/>
      <c r="C17" s="146"/>
      <c r="D17" s="23"/>
      <c r="E17" s="21"/>
      <c r="F17" s="10"/>
      <c r="G17" s="140" t="str">
        <f>IF(E5=2,N22,"")</f>
        <v>Surface tension of liquid</v>
      </c>
      <c r="H17" s="140"/>
      <c r="I17" s="140"/>
      <c r="J17" s="114">
        <v>12</v>
      </c>
      <c r="K17" s="102" t="str">
        <f>IF(E5=2,"dyne/cm","")</f>
        <v>dyne/cm</v>
      </c>
      <c r="L17" s="112">
        <f>J17</f>
        <v>12</v>
      </c>
      <c r="N17" s="147" t="s">
        <v>8</v>
      </c>
      <c r="O17" s="148"/>
      <c r="P17" s="148"/>
      <c r="Q17" s="148"/>
    </row>
    <row r="18" spans="1:17">
      <c r="A18" s="145"/>
      <c r="B18" s="146"/>
      <c r="C18" s="146"/>
      <c r="D18" s="23"/>
      <c r="E18" s="21"/>
      <c r="F18" s="10"/>
      <c r="G18" s="140" t="str">
        <f>IF(E5=2,N23,"")</f>
        <v>Viscosity of the vapour</v>
      </c>
      <c r="H18" s="140"/>
      <c r="I18" s="140"/>
      <c r="J18" s="114">
        <v>8.9999999999999993E-3</v>
      </c>
      <c r="K18" s="102" t="str">
        <f>IF(E5=2,"cP","")</f>
        <v>cP</v>
      </c>
      <c r="L18" s="112">
        <f>J18</f>
        <v>8.9999999999999993E-3</v>
      </c>
      <c r="N18" s="147" t="s">
        <v>4</v>
      </c>
      <c r="O18" s="148"/>
      <c r="P18" s="148"/>
      <c r="Q18" s="148"/>
    </row>
    <row r="19" spans="1:17">
      <c r="A19" s="147"/>
      <c r="B19" s="148"/>
      <c r="C19" s="148"/>
      <c r="D19" s="148"/>
      <c r="E19" s="9"/>
      <c r="F19" s="56"/>
      <c r="G19" s="100"/>
      <c r="H19" s="100"/>
      <c r="I19" s="100"/>
      <c r="J19" s="100"/>
      <c r="K19" s="100"/>
      <c r="L19" s="101"/>
      <c r="N19" s="147" t="s">
        <v>5</v>
      </c>
      <c r="O19" s="148"/>
      <c r="P19" s="148"/>
      <c r="Q19" s="148"/>
    </row>
    <row r="20" spans="1:17">
      <c r="A20" s="53"/>
      <c r="B20" s="4"/>
      <c r="C20" s="4"/>
      <c r="D20" s="4"/>
      <c r="E20" s="4"/>
      <c r="F20" s="56"/>
      <c r="G20" s="100"/>
      <c r="H20" s="100"/>
      <c r="I20" s="100"/>
      <c r="J20" s="100"/>
      <c r="K20" s="100"/>
      <c r="L20" s="106"/>
      <c r="N20" s="147" t="s">
        <v>6</v>
      </c>
      <c r="O20" s="148"/>
      <c r="P20" s="148"/>
      <c r="Q20" s="148"/>
    </row>
    <row r="21" spans="1:17">
      <c r="A21" s="53"/>
      <c r="B21" s="22"/>
      <c r="C21" s="4"/>
      <c r="D21" s="4"/>
      <c r="E21" s="4"/>
      <c r="F21" s="55"/>
      <c r="G21" s="100"/>
      <c r="H21" s="100"/>
      <c r="I21" s="100"/>
      <c r="J21" s="100"/>
      <c r="K21" s="100"/>
      <c r="L21" s="106"/>
      <c r="N21" s="147" t="s">
        <v>7</v>
      </c>
      <c r="O21" s="148"/>
      <c r="P21" s="148"/>
      <c r="Q21" s="148"/>
    </row>
    <row r="22" spans="1:17">
      <c r="A22" s="53"/>
      <c r="B22" s="22"/>
      <c r="C22" s="4"/>
      <c r="D22" s="4"/>
      <c r="E22" s="4"/>
      <c r="F22" s="57"/>
      <c r="G22" s="100"/>
      <c r="H22" s="100"/>
      <c r="I22" s="100"/>
      <c r="J22" s="100"/>
      <c r="K22" s="100"/>
      <c r="L22" s="105"/>
      <c r="N22" s="147" t="s">
        <v>9</v>
      </c>
      <c r="O22" s="148"/>
      <c r="P22" s="148"/>
      <c r="Q22" s="148"/>
    </row>
    <row r="23" spans="1:17">
      <c r="A23" s="53"/>
      <c r="B23" s="22"/>
      <c r="C23" s="4"/>
      <c r="D23" s="4"/>
      <c r="E23" s="4"/>
      <c r="F23" s="57"/>
      <c r="G23" s="100"/>
      <c r="H23" s="100"/>
      <c r="I23" s="100"/>
      <c r="J23" s="100"/>
      <c r="K23" s="100"/>
      <c r="L23" s="105"/>
      <c r="N23" s="147" t="s">
        <v>18</v>
      </c>
      <c r="O23" s="148"/>
      <c r="P23" s="148"/>
      <c r="Q23" s="148"/>
    </row>
    <row r="24" spans="1:17">
      <c r="A24" s="53"/>
      <c r="B24" s="22"/>
      <c r="C24" s="4"/>
      <c r="D24" s="4"/>
      <c r="E24" s="4"/>
      <c r="F24" s="4"/>
      <c r="G24" s="4"/>
      <c r="H24" s="4"/>
      <c r="I24" s="4"/>
      <c r="J24" s="10"/>
      <c r="K24" s="10"/>
      <c r="L24" s="58"/>
    </row>
    <row r="25" spans="1:17">
      <c r="A25" s="54"/>
      <c r="B25" s="22"/>
      <c r="C25" s="4"/>
      <c r="D25" s="4"/>
      <c r="E25" s="4"/>
      <c r="F25" s="4"/>
      <c r="G25" s="4"/>
      <c r="H25" s="4"/>
      <c r="I25" s="4"/>
      <c r="J25" s="10"/>
      <c r="K25" s="10"/>
      <c r="L25" s="59"/>
    </row>
    <row r="26" spans="1:17">
      <c r="A26" s="54"/>
      <c r="B26" s="22"/>
      <c r="C26" s="4"/>
      <c r="D26" s="4"/>
      <c r="E26" s="4"/>
      <c r="F26" s="4"/>
      <c r="G26" s="4"/>
      <c r="H26" s="4"/>
      <c r="I26" s="4"/>
      <c r="J26" s="10"/>
      <c r="K26" s="10"/>
      <c r="L26" s="59"/>
    </row>
    <row r="27" spans="1:17">
      <c r="A27" s="54"/>
      <c r="B27" s="22"/>
      <c r="C27" s="4"/>
      <c r="D27" s="4"/>
      <c r="E27" s="4"/>
      <c r="F27" s="4"/>
      <c r="G27" s="4"/>
      <c r="H27" s="4"/>
      <c r="I27" s="4"/>
      <c r="J27" s="10"/>
      <c r="K27" s="10"/>
      <c r="L27" s="58"/>
    </row>
    <row r="28" spans="1:17">
      <c r="A28" s="3"/>
      <c r="B28" s="22"/>
      <c r="C28" s="4"/>
      <c r="D28" s="4"/>
      <c r="E28" s="4"/>
      <c r="F28" s="4"/>
      <c r="G28" s="4"/>
      <c r="H28" s="4"/>
      <c r="I28" s="4"/>
      <c r="J28" s="10"/>
      <c r="K28" s="10"/>
      <c r="L28" s="58"/>
    </row>
    <row r="29" spans="1:17">
      <c r="A29" s="3"/>
      <c r="B29" s="4"/>
      <c r="C29" s="4"/>
      <c r="D29" s="4"/>
      <c r="E29" s="4"/>
      <c r="F29" s="4"/>
      <c r="G29" s="4"/>
      <c r="H29" s="4"/>
      <c r="I29" s="4"/>
      <c r="J29" s="10"/>
      <c r="K29" s="10"/>
      <c r="L29" s="14"/>
    </row>
    <row r="30" spans="1:17">
      <c r="A30" s="3"/>
      <c r="B30" s="4"/>
      <c r="C30" s="4"/>
      <c r="D30" s="4"/>
      <c r="E30" s="4"/>
      <c r="F30" s="4"/>
      <c r="G30" s="4"/>
      <c r="H30" s="4"/>
      <c r="I30" s="4"/>
      <c r="J30" s="10"/>
      <c r="K30" s="10"/>
      <c r="L30" s="14"/>
    </row>
    <row r="31" spans="1:17">
      <c r="A31" s="3"/>
      <c r="B31" s="4"/>
      <c r="C31" s="4"/>
      <c r="D31" s="4"/>
      <c r="E31" s="4"/>
      <c r="F31" s="4"/>
      <c r="G31" s="4"/>
      <c r="H31" s="4"/>
      <c r="I31" s="4"/>
      <c r="J31" s="10"/>
      <c r="K31" s="10"/>
      <c r="L31" s="14"/>
    </row>
    <row r="32" spans="1:17">
      <c r="A32" s="3"/>
      <c r="B32" s="4"/>
      <c r="C32" s="4"/>
      <c r="D32" s="4"/>
      <c r="E32" s="4"/>
      <c r="F32" s="4"/>
      <c r="G32" s="4"/>
      <c r="H32" s="4"/>
      <c r="I32" s="4"/>
      <c r="J32" s="10"/>
      <c r="K32" s="10"/>
      <c r="L32" s="14"/>
    </row>
    <row r="33" spans="1:12">
      <c r="A33" s="3"/>
      <c r="B33" s="4"/>
      <c r="C33" s="4"/>
      <c r="D33" s="4"/>
      <c r="E33" s="4"/>
      <c r="F33" s="4"/>
      <c r="G33" s="4"/>
      <c r="H33" s="4"/>
      <c r="I33" s="4"/>
      <c r="J33" s="10"/>
      <c r="K33" s="10"/>
      <c r="L33" s="14"/>
    </row>
    <row r="34" spans="1:12">
      <c r="A34" s="3"/>
      <c r="B34" s="4"/>
      <c r="C34" s="4"/>
      <c r="D34" s="4"/>
      <c r="E34" s="4"/>
      <c r="F34" s="4"/>
      <c r="G34" s="4"/>
      <c r="H34" s="4"/>
      <c r="I34" s="4"/>
      <c r="J34" s="10"/>
      <c r="K34" s="10"/>
      <c r="L34" s="14"/>
    </row>
    <row r="35" spans="1:12">
      <c r="A35" s="3"/>
      <c r="B35" s="4"/>
      <c r="C35" s="4"/>
      <c r="D35" s="4"/>
      <c r="E35" s="4"/>
      <c r="F35" s="4"/>
      <c r="G35" s="4"/>
      <c r="H35" s="4"/>
      <c r="I35" s="4"/>
      <c r="J35" s="10"/>
      <c r="K35" s="10"/>
      <c r="L35" s="14"/>
    </row>
    <row r="36" spans="1:12">
      <c r="A36" s="3"/>
      <c r="B36" s="4"/>
      <c r="C36" s="4"/>
      <c r="D36" s="4"/>
      <c r="E36" s="4"/>
      <c r="F36" s="4"/>
      <c r="G36" s="4"/>
      <c r="H36" s="4"/>
      <c r="I36" s="4"/>
      <c r="J36" s="10"/>
      <c r="K36" s="10"/>
      <c r="L36" s="14"/>
    </row>
    <row r="37" spans="1:12">
      <c r="A37" s="3"/>
      <c r="B37" s="4"/>
      <c r="C37" s="4"/>
      <c r="D37" s="4"/>
      <c r="E37" s="4"/>
      <c r="F37" s="4"/>
      <c r="G37" s="4"/>
      <c r="H37" s="4"/>
      <c r="I37" s="4"/>
      <c r="J37" s="10"/>
      <c r="K37" s="10"/>
      <c r="L37" s="14"/>
    </row>
    <row r="38" spans="1:12">
      <c r="A38" s="3"/>
      <c r="B38" s="4"/>
      <c r="C38" s="4"/>
      <c r="D38" s="4"/>
      <c r="E38" s="4"/>
      <c r="F38" s="4"/>
      <c r="G38" s="4"/>
      <c r="H38" s="4"/>
      <c r="I38" s="4"/>
      <c r="J38" s="10"/>
      <c r="K38" s="10"/>
      <c r="L38" s="14"/>
    </row>
    <row r="39" spans="1:12">
      <c r="A39" s="3"/>
      <c r="B39" s="4"/>
      <c r="C39" s="4"/>
      <c r="D39" s="4"/>
      <c r="E39" s="4"/>
      <c r="F39" s="4"/>
      <c r="G39" s="4"/>
      <c r="H39" s="4"/>
      <c r="I39" s="4"/>
      <c r="J39" s="10"/>
      <c r="K39" s="10"/>
      <c r="L39" s="14"/>
    </row>
    <row r="40" spans="1:12">
      <c r="A40" s="3"/>
      <c r="B40" s="4"/>
      <c r="C40" s="4"/>
      <c r="D40" s="4"/>
      <c r="E40" s="4"/>
      <c r="F40" s="4"/>
      <c r="G40" s="4"/>
      <c r="H40" s="4"/>
      <c r="I40" s="4"/>
      <c r="J40" s="10"/>
      <c r="K40" s="10"/>
      <c r="L40" s="14"/>
    </row>
    <row r="41" spans="1:12">
      <c r="A41" s="3"/>
      <c r="B41" s="4"/>
      <c r="C41" s="4"/>
      <c r="D41" s="4"/>
      <c r="E41" s="4"/>
      <c r="F41" s="4"/>
      <c r="G41" s="4"/>
      <c r="H41" s="4"/>
      <c r="I41" s="4"/>
      <c r="J41" s="10"/>
      <c r="K41" s="10"/>
      <c r="L41" s="14"/>
    </row>
    <row r="42" spans="1:12">
      <c r="A42" s="3"/>
      <c r="B42" s="4"/>
      <c r="C42" s="4"/>
      <c r="D42" s="4"/>
      <c r="E42" s="4"/>
      <c r="F42" s="4"/>
      <c r="G42" s="4"/>
      <c r="H42" s="4"/>
      <c r="I42" s="4"/>
      <c r="J42" s="10"/>
      <c r="K42" s="10"/>
      <c r="L42" s="14"/>
    </row>
    <row r="43" spans="1:12">
      <c r="A43" s="3"/>
      <c r="B43" s="4"/>
      <c r="C43" s="4"/>
      <c r="D43" s="4"/>
      <c r="E43" s="4"/>
      <c r="F43" s="4"/>
      <c r="G43" s="4"/>
      <c r="H43" s="4"/>
      <c r="I43" s="4"/>
      <c r="J43" s="10"/>
      <c r="K43" s="10"/>
      <c r="L43" s="14"/>
    </row>
    <row r="44" spans="1:12">
      <c r="A44" s="3"/>
      <c r="B44" s="4"/>
      <c r="C44" s="4"/>
      <c r="D44" s="4"/>
      <c r="E44" s="4"/>
      <c r="F44" s="4"/>
      <c r="G44" s="4"/>
      <c r="H44" s="4"/>
      <c r="I44" s="4"/>
      <c r="J44" s="10"/>
      <c r="K44" s="10"/>
      <c r="L44" s="14"/>
    </row>
    <row r="45" spans="1:12">
      <c r="A45" s="3"/>
      <c r="B45" s="4"/>
      <c r="C45" s="4"/>
      <c r="D45" s="4"/>
      <c r="E45" s="4"/>
      <c r="F45" s="4"/>
      <c r="G45" s="4"/>
      <c r="H45" s="4"/>
      <c r="I45" s="4"/>
      <c r="J45" s="10"/>
      <c r="K45" s="10"/>
      <c r="L45" s="14"/>
    </row>
    <row r="46" spans="1:12">
      <c r="A46" s="3"/>
      <c r="B46" s="4"/>
      <c r="C46" s="4"/>
      <c r="D46" s="4"/>
      <c r="E46" s="4"/>
      <c r="F46" s="4"/>
      <c r="G46" s="4"/>
      <c r="H46" s="4"/>
      <c r="I46" s="4"/>
      <c r="J46" s="10"/>
      <c r="K46" s="10"/>
      <c r="L46" s="14"/>
    </row>
    <row r="47" spans="1:12">
      <c r="A47" s="3"/>
      <c r="B47" s="4"/>
      <c r="C47" s="4"/>
      <c r="D47" s="4"/>
      <c r="E47" s="4"/>
      <c r="F47" s="4"/>
      <c r="G47" s="4"/>
      <c r="H47" s="4"/>
      <c r="I47" s="4"/>
      <c r="J47" s="10"/>
      <c r="K47" s="10"/>
      <c r="L47" s="14"/>
    </row>
    <row r="48" spans="1:12">
      <c r="A48" s="3"/>
      <c r="B48" s="4"/>
      <c r="C48" s="4"/>
      <c r="D48" s="4"/>
      <c r="E48" s="4"/>
      <c r="F48" s="4"/>
      <c r="G48" s="4"/>
      <c r="H48" s="4"/>
      <c r="I48" s="4"/>
      <c r="J48" s="10"/>
      <c r="K48" s="10"/>
      <c r="L48" s="14"/>
    </row>
    <row r="49" spans="1:12">
      <c r="A49" s="3"/>
      <c r="B49" s="4"/>
      <c r="C49" s="4"/>
      <c r="D49" s="4"/>
      <c r="E49" s="4"/>
      <c r="F49" s="4"/>
      <c r="G49" s="4"/>
      <c r="H49" s="4"/>
      <c r="I49" s="4"/>
      <c r="J49" s="10"/>
      <c r="K49" s="10"/>
      <c r="L49" s="14"/>
    </row>
    <row r="50" spans="1:12">
      <c r="A50" s="3"/>
      <c r="B50" s="4"/>
      <c r="C50" s="4"/>
      <c r="D50" s="4"/>
      <c r="E50" s="4"/>
      <c r="F50" s="4"/>
      <c r="G50" s="4"/>
      <c r="H50" s="4"/>
      <c r="I50" s="4"/>
      <c r="J50" s="10"/>
      <c r="K50" s="10"/>
      <c r="L50" s="14"/>
    </row>
    <row r="51" spans="1:12">
      <c r="A51" s="3"/>
      <c r="B51" s="4"/>
      <c r="C51" s="4"/>
      <c r="D51" s="4"/>
      <c r="E51" s="4"/>
      <c r="F51" s="4"/>
      <c r="G51" s="4"/>
      <c r="H51" s="4"/>
      <c r="I51" s="4"/>
      <c r="J51" s="10"/>
      <c r="K51" s="10"/>
      <c r="L51" s="14"/>
    </row>
    <row r="52" spans="1:12" ht="13.5" thickBot="1">
      <c r="A52" s="5"/>
      <c r="B52" s="6"/>
      <c r="C52" s="6"/>
      <c r="D52" s="6"/>
      <c r="E52" s="6"/>
      <c r="F52" s="6"/>
      <c r="G52" s="6"/>
      <c r="H52" s="6"/>
      <c r="I52" s="6"/>
      <c r="J52" s="44"/>
      <c r="K52" s="44"/>
      <c r="L52" s="45"/>
    </row>
    <row r="53" spans="1:12">
      <c r="D53" s="51"/>
      <c r="E53" s="51"/>
      <c r="F53" s="51"/>
    </row>
    <row r="54" spans="1:12">
      <c r="D54" s="52"/>
      <c r="E54" s="52"/>
      <c r="F54" s="52"/>
    </row>
    <row r="55" spans="1:12">
      <c r="D55" s="51"/>
      <c r="E55" s="51"/>
      <c r="F55" s="51"/>
    </row>
    <row r="65522" spans="1:256">
      <c r="A65522" s="16"/>
      <c r="B65522" s="16"/>
      <c r="C65522" s="16"/>
      <c r="D65522" s="16"/>
      <c r="E65522" s="16"/>
      <c r="F65522" s="16"/>
      <c r="G65522" s="16"/>
      <c r="H65522" s="16"/>
      <c r="I65522" s="16"/>
    </row>
    <row r="65523" spans="1:256">
      <c r="A65523" s="16"/>
      <c r="B65523" s="16"/>
      <c r="C65523" s="16"/>
      <c r="D65523" s="16"/>
      <c r="E65523" s="16"/>
      <c r="F65523" s="16"/>
      <c r="G65523" s="16"/>
      <c r="H65523" s="16"/>
      <c r="I65523" s="16"/>
    </row>
    <row r="65524" spans="1:256">
      <c r="A65524" s="16"/>
      <c r="B65524" s="16"/>
      <c r="C65524" s="16"/>
      <c r="D65524" s="16"/>
      <c r="E65524" s="16"/>
      <c r="F65524" s="16"/>
      <c r="G65524" s="16"/>
      <c r="H65524" s="16"/>
      <c r="I65524" s="16"/>
      <c r="IV65524" s="20"/>
    </row>
    <row r="65525" spans="1:256">
      <c r="A65525" s="16"/>
      <c r="B65525" s="16"/>
      <c r="C65525" s="16"/>
      <c r="D65525" s="16"/>
      <c r="E65525" s="16"/>
      <c r="F65525" s="16"/>
      <c r="G65525" s="16"/>
      <c r="H65525" s="16"/>
      <c r="I65525" s="16"/>
      <c r="IT65525" s="19"/>
    </row>
    <row r="65526" spans="1:256">
      <c r="A65526" s="16"/>
      <c r="B65526" s="16"/>
      <c r="C65526" s="16"/>
      <c r="D65526" s="17"/>
      <c r="E65526" s="18"/>
      <c r="F65526" s="17"/>
      <c r="G65526" s="16"/>
      <c r="H65526" s="16"/>
      <c r="I65526" s="16"/>
      <c r="IT65526" s="19"/>
    </row>
    <row r="65527" spans="1:256">
      <c r="A65527" s="16"/>
      <c r="B65527" s="16"/>
      <c r="C65527" s="16"/>
      <c r="D65527" s="16"/>
      <c r="E65527" s="16"/>
      <c r="F65527" s="16"/>
      <c r="G65527" s="16"/>
      <c r="H65527" s="16"/>
      <c r="I65527" s="16"/>
      <c r="IT65527" s="19"/>
    </row>
    <row r="65528" spans="1:256">
      <c r="A65528" s="16"/>
      <c r="B65528" s="16"/>
      <c r="C65528" s="16"/>
      <c r="D65528" s="16"/>
      <c r="E65528" s="16"/>
      <c r="F65528" s="16"/>
      <c r="G65528" s="16"/>
      <c r="H65528" s="16"/>
      <c r="I65528" s="16"/>
      <c r="IT65528" s="19"/>
    </row>
    <row r="65529" spans="1:256">
      <c r="A65529" s="16"/>
      <c r="B65529" s="16"/>
      <c r="C65529" s="16"/>
      <c r="D65529" s="16"/>
      <c r="E65529" s="16"/>
      <c r="F65529" s="16"/>
      <c r="G65529" s="16"/>
      <c r="H65529" s="16"/>
      <c r="I65529" s="16"/>
      <c r="IT65529" s="19"/>
    </row>
    <row r="65530" spans="1:256">
      <c r="A65530" s="16"/>
      <c r="B65530" s="16"/>
      <c r="C65530" s="16"/>
      <c r="D65530" s="16"/>
      <c r="E65530" s="16"/>
      <c r="F65530" s="16"/>
      <c r="G65530" s="16"/>
      <c r="H65530" s="16"/>
      <c r="I65530" s="16"/>
      <c r="IT65530" s="19"/>
    </row>
    <row r="65531" spans="1:256">
      <c r="A65531" s="16"/>
      <c r="B65531" s="16"/>
      <c r="C65531" s="16"/>
      <c r="D65531" s="16"/>
      <c r="E65531" s="16"/>
      <c r="F65531" s="16"/>
      <c r="G65531" s="16"/>
      <c r="H65531" s="16"/>
      <c r="I65531" s="16"/>
      <c r="IT65531" s="19"/>
    </row>
    <row r="65532" spans="1:256">
      <c r="A65532" s="16"/>
      <c r="B65532" s="16"/>
      <c r="C65532" s="16"/>
      <c r="D65532" s="16"/>
      <c r="E65532" s="16"/>
      <c r="F65532" s="16"/>
      <c r="G65532" s="16"/>
      <c r="H65532" s="16"/>
      <c r="I65532" s="16"/>
      <c r="IQ65532" s="16"/>
      <c r="IR65532" s="16"/>
      <c r="IS65532" s="16"/>
      <c r="IT65532" s="19"/>
      <c r="IU65532" s="16"/>
      <c r="IV65532" s="16"/>
    </row>
    <row r="65533" spans="1:256">
      <c r="A65533" s="16"/>
      <c r="B65533" s="16"/>
      <c r="C65533" s="16"/>
      <c r="D65533" s="16"/>
      <c r="E65533" s="16"/>
      <c r="F65533" s="16"/>
      <c r="G65533" s="16"/>
      <c r="H65533" s="16"/>
      <c r="I65533" s="16"/>
      <c r="IQ65533" s="16"/>
      <c r="IR65533" s="16"/>
      <c r="IS65533" s="16"/>
      <c r="IT65533" s="19"/>
      <c r="IU65533" s="16"/>
      <c r="IV65533" s="16"/>
    </row>
    <row r="65534" spans="1:256">
      <c r="A65534" s="16"/>
      <c r="B65534" s="16"/>
      <c r="C65534" s="16"/>
      <c r="D65534" s="16"/>
      <c r="E65534" s="16"/>
      <c r="F65534" s="16"/>
      <c r="G65534" s="16"/>
      <c r="H65534" s="16"/>
      <c r="I65534" s="16"/>
      <c r="IQ65534" s="16"/>
      <c r="IR65534" s="16"/>
      <c r="IS65534" s="16"/>
      <c r="IT65534" s="19"/>
      <c r="IU65534" s="16"/>
      <c r="IV65534" s="16"/>
    </row>
    <row r="65535" spans="1:256">
      <c r="A65535" s="16"/>
      <c r="B65535" s="16"/>
      <c r="C65535" s="16"/>
      <c r="D65535" s="16"/>
      <c r="E65535" s="16"/>
      <c r="F65535" s="16"/>
      <c r="G65535" s="16"/>
      <c r="H65535" s="16"/>
      <c r="I65535" s="16"/>
      <c r="IQ65535" s="16"/>
      <c r="IR65535" s="16"/>
      <c r="IS65535" s="16"/>
      <c r="IT65535" s="19"/>
      <c r="IU65535" s="16"/>
      <c r="IV65535" s="16"/>
    </row>
    <row r="65536" spans="1:256">
      <c r="A65536" s="16"/>
      <c r="B65536" s="16"/>
      <c r="C65536" s="16"/>
      <c r="D65536" s="16"/>
      <c r="E65536" s="16"/>
      <c r="F65536" s="16"/>
      <c r="G65536" s="16"/>
      <c r="H65536" s="16"/>
      <c r="I65536" s="16"/>
      <c r="IQ65536" s="16"/>
      <c r="IR65536" s="16"/>
      <c r="IS65536" s="16"/>
      <c r="IT65536" s="19"/>
      <c r="IU65536" s="16"/>
      <c r="IV65536" s="16"/>
    </row>
  </sheetData>
  <mergeCells count="40">
    <mergeCell ref="N6:Q6"/>
    <mergeCell ref="N11:Q11"/>
    <mergeCell ref="A8:F8"/>
    <mergeCell ref="N12:Q12"/>
    <mergeCell ref="N13:Q13"/>
    <mergeCell ref="N7:Q7"/>
    <mergeCell ref="N8:Q8"/>
    <mergeCell ref="N10:Q10"/>
    <mergeCell ref="A10:C10"/>
    <mergeCell ref="A11:C11"/>
    <mergeCell ref="N14:Q14"/>
    <mergeCell ref="N23:Q23"/>
    <mergeCell ref="N15:Q15"/>
    <mergeCell ref="N21:Q21"/>
    <mergeCell ref="N22:Q22"/>
    <mergeCell ref="N16:Q16"/>
    <mergeCell ref="N20:Q20"/>
    <mergeCell ref="A19:D19"/>
    <mergeCell ref="N17:Q17"/>
    <mergeCell ref="N18:Q18"/>
    <mergeCell ref="N19:Q19"/>
    <mergeCell ref="A17:C17"/>
    <mergeCell ref="G18:I18"/>
    <mergeCell ref="A18:C18"/>
    <mergeCell ref="A15:C15"/>
    <mergeCell ref="A16:C16"/>
    <mergeCell ref="A12:C12"/>
    <mergeCell ref="G17:I17"/>
    <mergeCell ref="G13:I13"/>
    <mergeCell ref="G14:I14"/>
    <mergeCell ref="G15:I15"/>
    <mergeCell ref="G16:I16"/>
    <mergeCell ref="A14:C14"/>
    <mergeCell ref="A13:C13"/>
    <mergeCell ref="A2:L2"/>
    <mergeCell ref="G10:I10"/>
    <mergeCell ref="G11:I11"/>
    <mergeCell ref="G12:I12"/>
    <mergeCell ref="G8:L8"/>
    <mergeCell ref="A5:D5"/>
  </mergeCells>
  <pageMargins left="0.75" right="0.75" top="1" bottom="1" header="0.5" footer="0.5"/>
  <pageSetup orientation="portrait" horizontalDpi="300" verticalDpi="300" copies="0" r:id="rId1"/>
  <headerFooter alignWithMargins="0"/>
  <legacyDrawing r:id="rId2"/>
  <controls>
    <control shapeId="1043" r:id="rId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L51"/>
  <sheetViews>
    <sheetView tabSelected="1" workbookViewId="0">
      <selection activeCell="A17" sqref="A17"/>
    </sheetView>
  </sheetViews>
  <sheetFormatPr defaultRowHeight="12.75"/>
  <cols>
    <col min="3" max="3" width="12.42578125" bestFit="1" customWidth="1"/>
    <col min="7" max="7" width="12.42578125" bestFit="1" customWidth="1"/>
    <col min="10" max="10" width="12.42578125" bestFit="1" customWidth="1"/>
  </cols>
  <sheetData>
    <row r="1" spans="1:12">
      <c r="A1" s="1"/>
      <c r="B1" s="2"/>
      <c r="C1" s="2"/>
      <c r="D1" s="2"/>
      <c r="E1" s="2"/>
      <c r="F1" s="2"/>
      <c r="G1" s="2"/>
      <c r="H1" s="2"/>
      <c r="I1" s="2"/>
      <c r="J1" s="42"/>
      <c r="K1" s="42"/>
      <c r="L1" s="43"/>
    </row>
    <row r="2" spans="1:12" ht="13.5" thickBot="1">
      <c r="A2" s="117" t="s">
        <v>90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9"/>
    </row>
    <row r="3" spans="1:12">
      <c r="A3" s="15"/>
      <c r="B3" s="10"/>
      <c r="C3" s="10"/>
      <c r="D3" s="10"/>
      <c r="E3" s="10"/>
      <c r="F3" s="10"/>
      <c r="G3" s="10"/>
      <c r="H3" s="10"/>
      <c r="I3" s="10"/>
      <c r="J3" s="10"/>
      <c r="K3" s="10"/>
      <c r="L3" s="14"/>
    </row>
    <row r="4" spans="1:12" ht="15">
      <c r="A4" s="15"/>
      <c r="B4" s="62"/>
      <c r="C4" s="62"/>
      <c r="D4" s="62"/>
      <c r="E4" s="10"/>
      <c r="F4" s="10"/>
      <c r="G4" s="62"/>
      <c r="H4" s="62"/>
      <c r="I4" s="62"/>
      <c r="J4" s="10"/>
      <c r="K4" s="10"/>
      <c r="L4" s="14"/>
    </row>
    <row r="5" spans="1:12">
      <c r="A5" s="15"/>
      <c r="B5" s="10"/>
      <c r="C5" s="63"/>
      <c r="D5" s="10"/>
      <c r="E5" s="10"/>
      <c r="F5" s="10"/>
      <c r="G5" s="10"/>
      <c r="H5" s="10"/>
      <c r="I5" s="10"/>
      <c r="J5" s="10"/>
      <c r="K5" s="10"/>
      <c r="L5" s="14"/>
    </row>
    <row r="6" spans="1:12">
      <c r="A6" s="145" t="s">
        <v>22</v>
      </c>
      <c r="B6" s="146"/>
      <c r="C6" s="46">
        <f>PI()*('Process Input'!F11/24)^2</f>
        <v>0</v>
      </c>
      <c r="D6" s="11"/>
      <c r="E6" s="10"/>
      <c r="F6" s="146" t="s">
        <v>22</v>
      </c>
      <c r="G6" s="146"/>
      <c r="H6" s="46">
        <f>3.14*('Process Input'!L11/24)^2</f>
        <v>8.4496702178960034E-2</v>
      </c>
      <c r="I6" s="11"/>
      <c r="J6" s="10"/>
      <c r="K6" s="10"/>
      <c r="L6" s="14"/>
    </row>
    <row r="7" spans="1:12">
      <c r="A7" s="145" t="s">
        <v>34</v>
      </c>
      <c r="B7" s="146"/>
      <c r="C7" s="47" t="e">
        <f>'Process Input'!F14/(3600*'Process Input'!F12*C6)</f>
        <v>#DIV/0!</v>
      </c>
      <c r="D7" s="11" t="s">
        <v>16</v>
      </c>
      <c r="E7" s="10" t="e">
        <f>C7*0.3048</f>
        <v>#DIV/0!</v>
      </c>
      <c r="F7" s="146" t="s">
        <v>36</v>
      </c>
      <c r="G7" s="146"/>
      <c r="H7" s="46">
        <f>'Process Input'!L16^0.5</f>
        <v>0.23703037779997738</v>
      </c>
      <c r="I7" s="11"/>
      <c r="J7" s="10"/>
      <c r="K7" s="10"/>
      <c r="L7" s="14"/>
    </row>
    <row r="8" spans="1:12">
      <c r="A8" s="145" t="s">
        <v>31</v>
      </c>
      <c r="B8" s="146"/>
      <c r="C8" s="46" t="e">
        <f>123.9*'Process Input'!F11*C7*'Process Input'!F12/'Process Input'!F13</f>
        <v>#DIV/0!</v>
      </c>
      <c r="D8" s="11" t="s">
        <v>11</v>
      </c>
      <c r="E8" s="10"/>
      <c r="F8" s="146" t="s">
        <v>14</v>
      </c>
      <c r="G8" s="146"/>
      <c r="H8" s="46">
        <f>531*('Process Input'!L14/'Process Input'!L13)*(('Process Input'!L12^0.33)/'Process Input'!L17)*(H7/('Process Input'!L15^0.166))</f>
        <v>10.959826201525596</v>
      </c>
      <c r="I8" s="11"/>
      <c r="J8" s="10"/>
      <c r="K8" s="10"/>
      <c r="L8" s="14"/>
    </row>
    <row r="9" spans="1:12">
      <c r="A9" s="145" t="s">
        <v>12</v>
      </c>
      <c r="B9" s="146"/>
      <c r="C9" s="46" t="e">
        <f>(((LN(1/(((7/C8)^0.9)+('Process Input'!F10/'Process Input'!F11))))*2.45)^16)</f>
        <v>#DIV/0!</v>
      </c>
      <c r="D9" s="11"/>
      <c r="E9" s="10"/>
      <c r="F9" s="146" t="s">
        <v>35</v>
      </c>
      <c r="G9" s="146"/>
      <c r="H9" s="46">
        <f>('Process Input'!L15*'Process Input'!L16)^0.5</f>
        <v>1.6750653547608225</v>
      </c>
      <c r="I9" s="11"/>
      <c r="J9" s="10"/>
      <c r="K9" s="10"/>
      <c r="L9" s="14"/>
    </row>
    <row r="10" spans="1:12">
      <c r="A10" s="145" t="s">
        <v>13</v>
      </c>
      <c r="B10" s="146"/>
      <c r="C10" s="46" t="e">
        <f>(37530/C8)^16</f>
        <v>#DIV/0!</v>
      </c>
      <c r="D10" s="11"/>
      <c r="E10" s="10"/>
      <c r="F10" s="146" t="s">
        <v>15</v>
      </c>
      <c r="G10" s="146"/>
      <c r="H10" s="46">
        <f>2.16*'Process Input'!L13/(H6*H9)</f>
        <v>33644.647202641521</v>
      </c>
      <c r="I10" s="11"/>
      <c r="J10" s="10"/>
      <c r="K10" s="10"/>
      <c r="L10" s="14"/>
    </row>
    <row r="11" spans="1:12">
      <c r="A11" s="145" t="s">
        <v>32</v>
      </c>
      <c r="B11" s="146"/>
      <c r="C11" s="46" t="e">
        <f>8*((((8/C8)^12)+(1/((C9+C10)^1.5)))^0.08)</f>
        <v>#DIV/0!</v>
      </c>
      <c r="D11" s="11"/>
      <c r="E11" s="10"/>
      <c r="F11" s="146" t="s">
        <v>43</v>
      </c>
      <c r="G11" s="146"/>
      <c r="H11" s="46">
        <f>(('Process Input'!L13+'Process Input'!L14)/(('Process Input'!L14/'Process Input'!L15)+('Process Input'!L13/'Process Input'!L16)))</f>
        <v>0.16817181341980544</v>
      </c>
      <c r="I11" s="11" t="s">
        <v>17</v>
      </c>
      <c r="J11" s="10"/>
      <c r="K11" s="10"/>
      <c r="L11" s="14"/>
    </row>
    <row r="12" spans="1:12">
      <c r="A12" s="145" t="s">
        <v>33</v>
      </c>
      <c r="B12" s="146"/>
      <c r="C12" s="47" t="e">
        <f>0.129*C11*'Process Input'!F12*C7^2/'Process Input'!F11</f>
        <v>#DIV/0!</v>
      </c>
      <c r="D12" s="11" t="s">
        <v>61</v>
      </c>
      <c r="E12" s="10"/>
      <c r="F12" s="146" t="s">
        <v>44</v>
      </c>
      <c r="G12" s="146"/>
      <c r="H12" s="46">
        <f>'Process Input'!L13+'Process Input'!L14</f>
        <v>6613.86</v>
      </c>
      <c r="I12" s="11" t="s">
        <v>45</v>
      </c>
      <c r="J12" s="10"/>
      <c r="K12" s="10"/>
      <c r="L12" s="14"/>
    </row>
    <row r="13" spans="1:12">
      <c r="A13" s="41"/>
      <c r="B13" s="25"/>
      <c r="C13" s="10"/>
      <c r="D13" s="10"/>
      <c r="E13" s="10"/>
      <c r="F13" s="146" t="s">
        <v>37</v>
      </c>
      <c r="G13" s="146"/>
      <c r="H13" s="47" t="str">
        <f>IF(J34="D","Dispersed",IF(J34="A","Annular",IF(J34="S","Slug","Bubble")))</f>
        <v>Dispersed</v>
      </c>
      <c r="I13" s="11"/>
      <c r="J13" s="10"/>
      <c r="K13" s="10"/>
      <c r="L13" s="14"/>
    </row>
    <row r="14" spans="1:12">
      <c r="A14" s="41"/>
      <c r="B14" s="25"/>
      <c r="C14" s="10"/>
      <c r="D14" s="10"/>
      <c r="E14" s="10"/>
      <c r="F14" s="146" t="s">
        <v>34</v>
      </c>
      <c r="G14" s="146"/>
      <c r="H14" s="47">
        <f>H12/(3600*H11*D36)</f>
        <v>129.28839092954186</v>
      </c>
      <c r="I14" s="11" t="s">
        <v>16</v>
      </c>
      <c r="J14" s="10">
        <f>H14*0.3048</f>
        <v>39.40710155532436</v>
      </c>
      <c r="K14" s="10"/>
      <c r="L14" s="14"/>
    </row>
    <row r="15" spans="1:12">
      <c r="A15" s="41"/>
      <c r="B15" s="25"/>
      <c r="C15" s="10"/>
      <c r="D15" s="10"/>
      <c r="E15" s="10"/>
      <c r="F15" s="146" t="s">
        <v>51</v>
      </c>
      <c r="G15" s="146"/>
      <c r="H15" s="47">
        <f>J36</f>
        <v>7.9893425226507837</v>
      </c>
      <c r="I15" s="11" t="s">
        <v>61</v>
      </c>
      <c r="J15" s="10"/>
      <c r="K15" s="10"/>
      <c r="L15" s="14"/>
    </row>
    <row r="16" spans="1:12">
      <c r="A16" s="41"/>
      <c r="B16" s="25"/>
      <c r="C16" s="10"/>
      <c r="D16" s="10"/>
      <c r="E16" s="10"/>
      <c r="F16" s="146" t="s">
        <v>62</v>
      </c>
      <c r="G16" s="146"/>
      <c r="H16" s="47">
        <f>H15/G45</f>
        <v>3.4110824085499973</v>
      </c>
      <c r="I16" s="11"/>
      <c r="J16" s="10"/>
      <c r="K16" s="10"/>
      <c r="L16" s="14"/>
    </row>
    <row r="17" spans="1:12">
      <c r="A17" s="109" t="e">
        <f>IF(C8&lt;2100,"Laminar",IF(C8&gt;4500,"Turbulent","Transition"))</f>
        <v>#DIV/0!</v>
      </c>
      <c r="B17" s="25"/>
      <c r="C17" s="10"/>
      <c r="D17" s="10"/>
      <c r="E17" s="10"/>
      <c r="F17" s="63"/>
      <c r="G17" s="63"/>
      <c r="H17" s="10"/>
      <c r="I17" s="10"/>
      <c r="J17" s="10"/>
      <c r="K17" s="10"/>
      <c r="L17" s="14"/>
    </row>
    <row r="18" spans="1:12">
      <c r="A18" s="41"/>
      <c r="B18" s="25"/>
      <c r="C18" s="10"/>
      <c r="D18" s="10"/>
      <c r="E18" s="10"/>
      <c r="F18" s="25"/>
      <c r="G18" s="25"/>
      <c r="H18" s="10"/>
      <c r="I18" s="10"/>
      <c r="J18" s="10"/>
      <c r="K18" s="10"/>
      <c r="L18" s="14"/>
    </row>
    <row r="19" spans="1:12">
      <c r="A19" s="41"/>
      <c r="B19" s="25"/>
      <c r="C19" s="10"/>
      <c r="D19" s="10"/>
      <c r="E19" s="10"/>
      <c r="F19" s="25"/>
      <c r="G19" s="25"/>
      <c r="H19" s="10"/>
      <c r="I19" s="10"/>
      <c r="J19" s="10"/>
      <c r="K19" s="10"/>
      <c r="L19" s="14"/>
    </row>
    <row r="20" spans="1:12">
      <c r="A20" s="15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4"/>
    </row>
    <row r="21" spans="1:12">
      <c r="A21" s="15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4"/>
    </row>
    <row r="22" spans="1:12">
      <c r="A22" s="15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4"/>
    </row>
    <row r="23" spans="1:12">
      <c r="A23" s="15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4"/>
    </row>
    <row r="24" spans="1:12">
      <c r="A24" s="15"/>
      <c r="B24" s="63"/>
      <c r="C24" s="10"/>
      <c r="D24" s="10"/>
      <c r="E24" s="10"/>
      <c r="F24" s="10"/>
      <c r="G24" s="10"/>
      <c r="H24" s="25"/>
      <c r="I24" s="25"/>
      <c r="J24" s="10"/>
      <c r="K24" s="10"/>
      <c r="L24" s="14"/>
    </row>
    <row r="25" spans="1:12">
      <c r="A25" s="15"/>
      <c r="B25" s="10"/>
      <c r="C25" s="10"/>
      <c r="D25" s="10"/>
      <c r="E25" s="10"/>
      <c r="F25" s="10"/>
      <c r="G25" s="10"/>
      <c r="H25" s="25"/>
      <c r="I25" s="25"/>
      <c r="J25" s="10"/>
      <c r="K25" s="10"/>
      <c r="L25" s="14"/>
    </row>
    <row r="26" spans="1:12">
      <c r="A26" s="15"/>
      <c r="B26" s="10"/>
      <c r="C26" s="10"/>
      <c r="D26" s="10"/>
      <c r="E26" s="10"/>
      <c r="F26" s="10"/>
      <c r="G26" s="10"/>
      <c r="H26" s="25"/>
      <c r="I26" s="25"/>
      <c r="J26" s="10"/>
      <c r="K26" s="10"/>
      <c r="L26" s="14"/>
    </row>
    <row r="27" spans="1:12">
      <c r="A27" s="15"/>
      <c r="B27" s="10"/>
      <c r="C27" s="10"/>
      <c r="D27" s="10"/>
      <c r="E27" s="10"/>
      <c r="F27" s="10"/>
      <c r="G27" s="10"/>
      <c r="H27" s="10"/>
      <c r="I27" s="25"/>
      <c r="J27" s="10"/>
      <c r="K27" s="10"/>
      <c r="L27" s="14"/>
    </row>
    <row r="28" spans="1:12">
      <c r="A28" s="15"/>
      <c r="B28" s="10"/>
      <c r="C28" s="10"/>
      <c r="D28" s="10"/>
      <c r="E28" s="10"/>
      <c r="F28" s="10"/>
      <c r="G28" s="10"/>
      <c r="H28" s="10"/>
      <c r="I28" s="25"/>
      <c r="J28" s="10"/>
      <c r="K28" s="10"/>
      <c r="L28" s="14"/>
    </row>
    <row r="29" spans="1:12">
      <c r="A29" s="15"/>
      <c r="B29" s="10"/>
      <c r="C29" s="10"/>
      <c r="D29" s="10"/>
      <c r="E29" s="10"/>
      <c r="F29" s="10"/>
      <c r="G29" s="10"/>
      <c r="H29" s="10"/>
      <c r="I29" s="25"/>
      <c r="J29" s="10"/>
      <c r="K29" s="10"/>
      <c r="L29" s="14"/>
    </row>
    <row r="30" spans="1:12">
      <c r="A30" s="15"/>
      <c r="B30" s="10"/>
      <c r="C30" s="10"/>
      <c r="D30" s="10"/>
      <c r="E30" s="10"/>
      <c r="F30" s="10"/>
      <c r="G30" s="10"/>
      <c r="H30" s="10" t="s">
        <v>63</v>
      </c>
      <c r="I30" s="25"/>
      <c r="J30" s="10"/>
      <c r="K30" s="10"/>
      <c r="L30" s="14"/>
    </row>
    <row r="31" spans="1:12">
      <c r="A31" s="15"/>
      <c r="B31" s="10"/>
      <c r="C31" s="10"/>
      <c r="D31" s="10"/>
      <c r="E31" s="10"/>
      <c r="F31" s="10"/>
      <c r="G31" s="10"/>
      <c r="H31" s="25" t="s">
        <v>60</v>
      </c>
      <c r="I31" s="40">
        <v>1</v>
      </c>
      <c r="J31" s="10" t="str">
        <f>IF(H10&gt;=80000,"D","N")</f>
        <v>N</v>
      </c>
      <c r="K31" s="10"/>
      <c r="L31" s="14"/>
    </row>
    <row r="32" spans="1:12">
      <c r="A32" s="15"/>
      <c r="B32" s="10"/>
      <c r="C32" s="10"/>
      <c r="D32" s="10"/>
      <c r="E32" s="10"/>
      <c r="F32" s="10"/>
      <c r="G32" s="10"/>
      <c r="H32" s="25" t="s">
        <v>60</v>
      </c>
      <c r="I32" s="40">
        <v>2</v>
      </c>
      <c r="J32" s="10" t="str">
        <f>IF(J31="D","D",IF(H10&lt;=4000,"A,S","N"))</f>
        <v>N</v>
      </c>
      <c r="K32" s="10"/>
      <c r="L32" s="14"/>
    </row>
    <row r="33" spans="1:12">
      <c r="A33" s="15"/>
      <c r="B33" s="10"/>
      <c r="C33" s="10" t="s">
        <v>66</v>
      </c>
      <c r="D33" s="10"/>
      <c r="E33" s="10"/>
      <c r="F33" s="10"/>
      <c r="G33" s="10"/>
      <c r="H33" s="25" t="s">
        <v>60</v>
      </c>
      <c r="I33" s="40">
        <v>3</v>
      </c>
      <c r="J33" s="10" t="str">
        <f>IF(J32="D","D",IF(J32="A,S",IF(H8&lt;=20,"A","S"),"N"))</f>
        <v>N</v>
      </c>
      <c r="K33" s="10"/>
      <c r="L33" s="14"/>
    </row>
    <row r="34" spans="1:12">
      <c r="A34" s="15"/>
      <c r="B34" s="10"/>
      <c r="C34" s="25" t="s">
        <v>19</v>
      </c>
      <c r="D34" s="10">
        <f>'Process Input'!L15</f>
        <v>49.940800000000003</v>
      </c>
      <c r="E34" s="10"/>
      <c r="F34" s="25" t="s">
        <v>38</v>
      </c>
      <c r="G34" s="10"/>
      <c r="H34" s="25" t="s">
        <v>60</v>
      </c>
      <c r="I34" s="40">
        <v>4</v>
      </c>
      <c r="J34" s="10" t="str">
        <f>IF(J33="D","D",IF(J33="A","A",IF(J33="S","S",IF(H8&gt;=300,"B",IF(H10&lt;=30000,"A","D")))))</f>
        <v>D</v>
      </c>
      <c r="K34" s="10"/>
      <c r="L34" s="14"/>
    </row>
    <row r="35" spans="1:12">
      <c r="A35" s="15"/>
      <c r="B35" s="10"/>
      <c r="C35" s="25" t="s">
        <v>20</v>
      </c>
      <c r="D35" s="10">
        <f>'Process Input'!L14</f>
        <v>4409.24</v>
      </c>
      <c r="E35" s="10"/>
      <c r="F35" s="25" t="s">
        <v>39</v>
      </c>
      <c r="G35" s="10">
        <f>D42</f>
        <v>1.1355250120245478E-2</v>
      </c>
      <c r="H35" s="10"/>
      <c r="I35" s="25"/>
      <c r="J35" s="10"/>
      <c r="K35" s="10"/>
      <c r="L35" s="14"/>
    </row>
    <row r="36" spans="1:12">
      <c r="A36" s="15"/>
      <c r="B36" s="10"/>
      <c r="C36" s="25" t="s">
        <v>22</v>
      </c>
      <c r="D36" s="10">
        <f>H6</f>
        <v>8.4496702178960034E-2</v>
      </c>
      <c r="E36" s="10"/>
      <c r="F36" s="25" t="s">
        <v>19</v>
      </c>
      <c r="G36" s="10">
        <f>'Process Input'!L16</f>
        <v>5.6183400000000001E-2</v>
      </c>
      <c r="H36" s="10"/>
      <c r="I36" s="25" t="s">
        <v>64</v>
      </c>
      <c r="J36" s="10">
        <f>IF(J34="D",B50,IF(J34="A",J50,IF(J34="S",I42,K42)))</f>
        <v>7.9893425226507837</v>
      </c>
      <c r="K36" s="10" t="s">
        <v>65</v>
      </c>
      <c r="L36" s="14"/>
    </row>
    <row r="37" spans="1:12">
      <c r="A37" s="15"/>
      <c r="B37" s="10"/>
      <c r="C37" s="25" t="s">
        <v>21</v>
      </c>
      <c r="D37" s="10">
        <f>D35/(3600*D34*D36)</f>
        <v>0.29024582648188496</v>
      </c>
      <c r="E37" s="10"/>
      <c r="F37" s="25" t="s">
        <v>20</v>
      </c>
      <c r="G37" s="10">
        <f>'Process Input'!L13</f>
        <v>2204.62</v>
      </c>
      <c r="H37" s="10"/>
      <c r="I37" s="25"/>
      <c r="J37" s="10"/>
      <c r="K37" s="10"/>
      <c r="L37" s="14"/>
    </row>
    <row r="38" spans="1:12">
      <c r="A38" s="15"/>
      <c r="B38" s="10"/>
      <c r="C38" s="25" t="s">
        <v>23</v>
      </c>
      <c r="D38" s="10">
        <f>123.9*'Process Input'!L11*D37*D34/'Process Input'!L12</f>
        <v>7070.6458040068483</v>
      </c>
      <c r="E38" s="10"/>
      <c r="F38" s="25" t="s">
        <v>40</v>
      </c>
      <c r="G38" s="10">
        <f>'Process Input'!L18</f>
        <v>8.9999999999999993E-3</v>
      </c>
      <c r="H38" s="10"/>
      <c r="I38" s="25"/>
      <c r="J38" s="10"/>
      <c r="K38" s="10"/>
      <c r="L38" s="14"/>
    </row>
    <row r="39" spans="1:12">
      <c r="A39" s="15"/>
      <c r="B39" s="10"/>
      <c r="C39" s="25" t="s">
        <v>12</v>
      </c>
      <c r="D39" s="10">
        <f>(((LN(1/(((7/D38)^0.9)+('Process Input'!L10/'Process Input'!L11))))*2.45)^16)</f>
        <v>3.6380045735107056E+16</v>
      </c>
      <c r="E39" s="10"/>
      <c r="F39" s="25" t="s">
        <v>21</v>
      </c>
      <c r="G39" s="10">
        <f>G37/(3600*G36*D36)</f>
        <v>128.99814510305998</v>
      </c>
      <c r="H39" s="10"/>
      <c r="I39" s="25"/>
      <c r="J39" s="10"/>
      <c r="K39" s="10"/>
      <c r="L39" s="14"/>
    </row>
    <row r="40" spans="1:12">
      <c r="A40" s="15"/>
      <c r="B40" s="10"/>
      <c r="C40" s="25" t="s">
        <v>13</v>
      </c>
      <c r="D40" s="10">
        <f>(37530/D38)^16</f>
        <v>396927979842.5498</v>
      </c>
      <c r="E40" s="10"/>
      <c r="F40" s="25" t="s">
        <v>23</v>
      </c>
      <c r="G40" s="10">
        <f>123.9*'Process Input'!L11*G39*G36/G38</f>
        <v>392813.65577815828</v>
      </c>
      <c r="H40" s="159" t="s">
        <v>58</v>
      </c>
      <c r="I40" s="158"/>
      <c r="J40" s="159" t="s">
        <v>59</v>
      </c>
      <c r="K40" s="158"/>
      <c r="L40" s="14"/>
    </row>
    <row r="41" spans="1:12">
      <c r="A41" s="15"/>
      <c r="B41" s="10"/>
      <c r="C41" s="25" t="s">
        <v>24</v>
      </c>
      <c r="D41" s="10">
        <f>8*((((8/D38)^12)+(1/((D39+D40)^1.5)))^0.08)</f>
        <v>8.237317949632432E-2</v>
      </c>
      <c r="E41" s="10"/>
      <c r="F41" s="25" t="s">
        <v>12</v>
      </c>
      <c r="G41" s="10">
        <f>(((LN(1/(((7/G40)^0.9)+('Process Input'!L10/'Process Input'!L11))))*2.45)^16)</f>
        <v>6.7698543950599672E+16</v>
      </c>
      <c r="H41" s="37" t="s">
        <v>48</v>
      </c>
      <c r="I41" s="38">
        <f>(((1190*((G46^0.5)^0.815))/('Process Input'!L14/H6)^0.5)^2)</f>
        <v>0.35262728391101011</v>
      </c>
      <c r="J41" s="27" t="s">
        <v>48</v>
      </c>
      <c r="K41" s="29">
        <f>((14.2*((G46^0.5)^0.75)/(('Process Input'!L14/H6)^0.1))^2)</f>
        <v>0.42194447021724696</v>
      </c>
      <c r="L41" s="14"/>
    </row>
    <row r="42" spans="1:12">
      <c r="A42" s="15"/>
      <c r="B42" s="10"/>
      <c r="C42" s="25" t="s">
        <v>25</v>
      </c>
      <c r="D42" s="10">
        <f>(0.129*D41*D34*D37^2)/'Process Input'!L11</f>
        <v>1.1355250120245478E-2</v>
      </c>
      <c r="E42" s="10"/>
      <c r="F42" s="25" t="s">
        <v>13</v>
      </c>
      <c r="G42" s="10">
        <f>(37530/G40)^16</f>
        <v>4.8202747751197574E-17</v>
      </c>
      <c r="H42" s="35" t="s">
        <v>52</v>
      </c>
      <c r="I42" s="39">
        <f>I41*G45</f>
        <v>0.82591383513207495</v>
      </c>
      <c r="J42" s="36" t="s">
        <v>52</v>
      </c>
      <c r="K42" s="34">
        <f>K41*G45</f>
        <v>0.98826662459233794</v>
      </c>
      <c r="L42" s="14"/>
    </row>
    <row r="43" spans="1:12">
      <c r="A43" s="15"/>
      <c r="B43" s="10"/>
      <c r="C43" s="10"/>
      <c r="D43" s="10"/>
      <c r="E43" s="10"/>
      <c r="F43" s="25" t="s">
        <v>24</v>
      </c>
      <c r="G43" s="10">
        <f>8*((((8/G40)^12)+(1/((G41+G42)^1.5)))^0.08)</f>
        <v>7.6457565883203127E-2</v>
      </c>
      <c r="H43" s="10"/>
      <c r="I43" s="25"/>
      <c r="J43" s="10"/>
      <c r="K43" s="10"/>
      <c r="L43" s="14"/>
    </row>
    <row r="44" spans="1:12">
      <c r="A44" s="15"/>
      <c r="B44" s="10"/>
      <c r="C44" s="10"/>
      <c r="D44" s="10"/>
      <c r="E44" s="10"/>
      <c r="F44" s="25" t="s">
        <v>25</v>
      </c>
      <c r="G44" s="10">
        <f>(0.129*G43*G36*G39^2)/'Process Input'!L11</f>
        <v>2.3421722391183564</v>
      </c>
      <c r="H44" s="10"/>
      <c r="I44" s="25"/>
      <c r="J44" s="10"/>
      <c r="K44" s="10"/>
      <c r="L44" s="14"/>
    </row>
    <row r="45" spans="1:12">
      <c r="A45" s="15"/>
      <c r="B45" s="10"/>
      <c r="C45" s="10"/>
      <c r="D45" s="10"/>
      <c r="E45" s="10"/>
      <c r="F45" s="25" t="s">
        <v>41</v>
      </c>
      <c r="G45" s="10">
        <f>G44</f>
        <v>2.3421722391183564</v>
      </c>
      <c r="H45" s="10"/>
      <c r="I45" s="25"/>
      <c r="J45" s="10"/>
      <c r="K45" s="10"/>
      <c r="L45" s="14"/>
    </row>
    <row r="46" spans="1:12">
      <c r="A46" s="156" t="s">
        <v>54</v>
      </c>
      <c r="B46" s="157"/>
      <c r="C46" s="157"/>
      <c r="D46" s="157"/>
      <c r="E46" s="158"/>
      <c r="F46" s="25" t="s">
        <v>42</v>
      </c>
      <c r="G46" s="10">
        <f>G35/G45</f>
        <v>4.8481703995090627E-3</v>
      </c>
      <c r="H46" s="153" t="s">
        <v>53</v>
      </c>
      <c r="I46" s="154"/>
      <c r="J46" s="154"/>
      <c r="K46" s="155"/>
      <c r="L46" s="14"/>
    </row>
    <row r="47" spans="1:12">
      <c r="A47" s="48"/>
      <c r="B47" s="28" t="s">
        <v>46</v>
      </c>
      <c r="C47" s="28"/>
      <c r="D47" s="28" t="s">
        <v>47</v>
      </c>
      <c r="E47" s="28"/>
      <c r="F47" s="29" t="s">
        <v>56</v>
      </c>
      <c r="G47" s="10"/>
      <c r="H47" s="26"/>
      <c r="I47" s="28" t="s">
        <v>55</v>
      </c>
      <c r="J47" s="27" t="s">
        <v>56</v>
      </c>
      <c r="K47" s="29"/>
      <c r="L47" s="14"/>
    </row>
    <row r="48" spans="1:12">
      <c r="A48" s="41" t="s">
        <v>48</v>
      </c>
      <c r="B48" s="10">
        <f>((36.67*(G46-0.01))+3.6)</f>
        <v>3.4110824085499973</v>
      </c>
      <c r="C48" s="25" t="s">
        <v>48</v>
      </c>
      <c r="D48" s="10">
        <f>((14.75*(G46-0.1))+6.9)</f>
        <v>5.4965105133927592</v>
      </c>
      <c r="E48" s="25" t="s">
        <v>48</v>
      </c>
      <c r="F48" s="13">
        <f>((6.71*(-0.5))+12.8)</f>
        <v>9.4450000000000003</v>
      </c>
      <c r="G48" s="10"/>
      <c r="H48" s="30" t="s">
        <v>48</v>
      </c>
      <c r="I48" s="10">
        <f>(((4.8-(0.31*'Process Input'!L11))*((G46^0.5)^(0.34-(0.02*'Process Input'!L11))))^2)</f>
        <v>3.1840938321430903</v>
      </c>
      <c r="J48" s="25" t="s">
        <v>48</v>
      </c>
      <c r="K48" s="13">
        <f>((1.68*((G46^0.5)^0.13))^2)</f>
        <v>1.4117041365804377</v>
      </c>
      <c r="L48" s="14"/>
    </row>
    <row r="49" spans="1:12">
      <c r="A49" s="41" t="s">
        <v>50</v>
      </c>
      <c r="B49" s="10">
        <f>G46</f>
        <v>4.8481703995090627E-3</v>
      </c>
      <c r="C49" s="25" t="s">
        <v>49</v>
      </c>
      <c r="D49" s="10">
        <f>IF(G46&lt;=0.1,B48,IF(G46&lt;=0.5,D48,F48))</f>
        <v>3.4110824085499973</v>
      </c>
      <c r="E49" s="10"/>
      <c r="F49" s="13"/>
      <c r="G49" s="10"/>
      <c r="H49" s="30" t="s">
        <v>57</v>
      </c>
      <c r="I49" s="10">
        <f>'Process Input'!L11</f>
        <v>3.9370080000000005</v>
      </c>
      <c r="J49" s="10" t="s">
        <v>49</v>
      </c>
      <c r="K49" s="31">
        <f>IF('Process Input'!L11&lt;=10,Calculations!I48,Calculations!K48)</f>
        <v>3.1840938321430903</v>
      </c>
      <c r="L49" s="14"/>
    </row>
    <row r="50" spans="1:12">
      <c r="A50" s="49" t="s">
        <v>52</v>
      </c>
      <c r="B50" s="33">
        <f>D49*G45</f>
        <v>7.9893425226507837</v>
      </c>
      <c r="C50" s="33"/>
      <c r="D50" s="33"/>
      <c r="E50" s="33"/>
      <c r="F50" s="34"/>
      <c r="G50" s="10"/>
      <c r="H50" s="32"/>
      <c r="I50" s="36" t="s">
        <v>52</v>
      </c>
      <c r="J50" s="33">
        <f>K49*G45</f>
        <v>7.4576961803935298</v>
      </c>
      <c r="K50" s="34"/>
      <c r="L50" s="14"/>
    </row>
    <row r="51" spans="1:12" ht="13.5" thickBot="1">
      <c r="A51" s="50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5"/>
    </row>
  </sheetData>
  <sheetProtection sheet="1" objects="1" scenarios="1" selectLockedCells="1"/>
  <mergeCells count="23">
    <mergeCell ref="A2:L2"/>
    <mergeCell ref="A6:B6"/>
    <mergeCell ref="A7:B7"/>
    <mergeCell ref="A8:B8"/>
    <mergeCell ref="F7:G7"/>
    <mergeCell ref="F6:G6"/>
    <mergeCell ref="F8:G8"/>
    <mergeCell ref="H46:K46"/>
    <mergeCell ref="A46:E46"/>
    <mergeCell ref="H40:I40"/>
    <mergeCell ref="J40:K40"/>
    <mergeCell ref="A9:B9"/>
    <mergeCell ref="A10:B10"/>
    <mergeCell ref="F9:G9"/>
    <mergeCell ref="F10:G10"/>
    <mergeCell ref="F11:G11"/>
    <mergeCell ref="A11:B11"/>
    <mergeCell ref="A12:B12"/>
    <mergeCell ref="F13:G13"/>
    <mergeCell ref="F15:G15"/>
    <mergeCell ref="F16:G16"/>
    <mergeCell ref="F12:G12"/>
    <mergeCell ref="F14:G14"/>
  </mergeCells>
  <pageMargins left="0.75" right="0.75" top="1" bottom="1" header="0.5" footer="0.5"/>
  <pageSetup orientation="portrait" horizontalDpi="300" verticalDpi="3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I26"/>
  <sheetViews>
    <sheetView showGridLines="0" workbookViewId="0">
      <selection activeCell="K29" sqref="K29"/>
    </sheetView>
  </sheetViews>
  <sheetFormatPr defaultRowHeight="12.75"/>
  <cols>
    <col min="1" max="4" width="9.140625" style="66"/>
    <col min="5" max="5" width="10.42578125" style="66" customWidth="1"/>
    <col min="6" max="16384" width="9.140625" style="66"/>
  </cols>
  <sheetData>
    <row r="1" spans="1:9" ht="14.25" thickTop="1" thickBot="1">
      <c r="A1" s="160" t="s">
        <v>89</v>
      </c>
      <c r="B1" s="161"/>
      <c r="C1" s="161"/>
      <c r="D1" s="161"/>
      <c r="E1" s="161"/>
      <c r="F1" s="161"/>
      <c r="G1" s="161"/>
      <c r="H1" s="161"/>
      <c r="I1" s="162"/>
    </row>
    <row r="2" spans="1:9" ht="13.5" thickTop="1">
      <c r="A2" s="67"/>
      <c r="B2" s="68"/>
      <c r="C2" s="68"/>
      <c r="D2" s="68"/>
      <c r="E2" s="68"/>
      <c r="F2" s="68"/>
      <c r="G2" s="68"/>
      <c r="H2" s="68"/>
      <c r="I2" s="69"/>
    </row>
    <row r="3" spans="1:9">
      <c r="A3" s="70"/>
      <c r="B3" s="68"/>
      <c r="C3" s="68"/>
      <c r="D3" s="68"/>
      <c r="E3" s="68"/>
      <c r="F3" s="68"/>
      <c r="G3" s="68"/>
      <c r="H3" s="68"/>
      <c r="I3" s="69"/>
    </row>
    <row r="4" spans="1:9">
      <c r="A4" s="72"/>
      <c r="B4" s="68"/>
      <c r="C4" s="68"/>
      <c r="D4" s="68"/>
      <c r="E4" s="68"/>
      <c r="F4" s="68"/>
      <c r="G4" s="68"/>
      <c r="H4" s="68"/>
      <c r="I4" s="69"/>
    </row>
    <row r="5" spans="1:9">
      <c r="A5" s="73"/>
      <c r="B5" s="74"/>
      <c r="C5" s="74"/>
      <c r="D5" s="74"/>
      <c r="E5" s="89"/>
      <c r="F5" s="89"/>
      <c r="G5" s="91"/>
      <c r="H5" s="92"/>
      <c r="I5" s="93"/>
    </row>
    <row r="6" spans="1:9">
      <c r="A6" s="98" t="s">
        <v>67</v>
      </c>
      <c r="B6" s="74"/>
      <c r="C6" s="74"/>
      <c r="D6" s="74"/>
      <c r="E6" s="90"/>
      <c r="F6" s="90"/>
      <c r="G6" s="91"/>
      <c r="H6" s="92"/>
      <c r="I6" s="93"/>
    </row>
    <row r="7" spans="1:9">
      <c r="A7" s="167" t="s">
        <v>81</v>
      </c>
      <c r="B7" s="168"/>
      <c r="C7" s="168"/>
      <c r="D7" s="168"/>
      <c r="E7" s="163" t="str">
        <f>IF('Process Input'!E5=1,"Single-phase","Multi-phase")</f>
        <v>Multi-phase</v>
      </c>
      <c r="F7" s="163"/>
      <c r="G7" s="91"/>
      <c r="H7" s="92"/>
      <c r="I7" s="93"/>
    </row>
    <row r="8" spans="1:9">
      <c r="A8" s="167" t="str">
        <f>IF(E7="Single","","Flow Regime is ")</f>
        <v xml:space="preserve">Flow Regime is </v>
      </c>
      <c r="B8" s="168"/>
      <c r="C8" s="168"/>
      <c r="D8" s="168"/>
      <c r="E8" s="99" t="str">
        <f>IF(E7="Single-phase",Calculations!A17,Calculations!H13)</f>
        <v>Dispersed</v>
      </c>
      <c r="F8" s="95" t="s">
        <v>95</v>
      </c>
      <c r="G8" s="91"/>
      <c r="H8" s="92"/>
      <c r="I8" s="93"/>
    </row>
    <row r="9" spans="1:9">
      <c r="A9" s="167" t="s">
        <v>82</v>
      </c>
      <c r="B9" s="168"/>
      <c r="C9" s="168"/>
      <c r="D9" s="168"/>
      <c r="E9" s="110">
        <f>IF(E7 = "Single-phase",Calculations!E7,Calculations!J14)</f>
        <v>39.40710155532436</v>
      </c>
      <c r="F9" s="96" t="s">
        <v>85</v>
      </c>
      <c r="G9" s="92"/>
      <c r="H9" s="92"/>
      <c r="I9" s="93"/>
    </row>
    <row r="10" spans="1:9">
      <c r="A10" s="167" t="s">
        <v>83</v>
      </c>
      <c r="B10" s="168"/>
      <c r="C10" s="168"/>
      <c r="D10" s="168"/>
      <c r="E10" s="107">
        <f>IF(E7 = "Single-phase",Calculations!C12,Calculations!H15)</f>
        <v>7.9893425226507837</v>
      </c>
      <c r="F10" s="97" t="s">
        <v>84</v>
      </c>
      <c r="G10" s="92"/>
      <c r="H10" s="92"/>
      <c r="I10" s="93"/>
    </row>
    <row r="11" spans="1:9">
      <c r="A11" s="73"/>
      <c r="B11" s="74"/>
      <c r="C11" s="74"/>
      <c r="D11" s="74"/>
      <c r="E11" s="108">
        <f>E10*0.48/100000</f>
        <v>3.8348844108723762E-5</v>
      </c>
      <c r="F11" s="92" t="s">
        <v>86</v>
      </c>
      <c r="G11" s="92"/>
      <c r="H11" s="92"/>
      <c r="I11" s="93"/>
    </row>
    <row r="12" spans="1:9">
      <c r="A12" s="94"/>
      <c r="B12" s="92"/>
      <c r="C12" s="92"/>
      <c r="D12" s="92"/>
      <c r="E12" s="92"/>
      <c r="F12" s="92"/>
      <c r="G12" s="92"/>
      <c r="H12" s="92"/>
      <c r="I12" s="69"/>
    </row>
    <row r="13" spans="1:9">
      <c r="A13" s="72"/>
      <c r="B13" s="75"/>
      <c r="C13" s="75"/>
      <c r="D13" s="75"/>
      <c r="E13" s="75"/>
      <c r="F13" s="75"/>
      <c r="G13" s="76"/>
      <c r="H13" s="76"/>
      <c r="I13" s="77"/>
    </row>
    <row r="14" spans="1:9">
      <c r="A14" s="72"/>
      <c r="B14" s="75"/>
      <c r="C14" s="75"/>
      <c r="D14" s="164" t="s">
        <v>69</v>
      </c>
      <c r="E14" s="164"/>
      <c r="F14" s="164"/>
      <c r="G14" s="165" t="str">
        <f>'General Input'!D8</f>
        <v>XYZ</v>
      </c>
      <c r="H14" s="165"/>
      <c r="I14" s="166"/>
    </row>
    <row r="15" spans="1:9">
      <c r="A15" s="72"/>
      <c r="B15" s="75"/>
      <c r="C15" s="75"/>
      <c r="D15" s="164" t="s">
        <v>70</v>
      </c>
      <c r="E15" s="164"/>
      <c r="F15" s="164"/>
      <c r="G15" s="165" t="str">
        <f>'General Input'!D10</f>
        <v>Pune</v>
      </c>
      <c r="H15" s="165"/>
      <c r="I15" s="166"/>
    </row>
    <row r="16" spans="1:9">
      <c r="A16" s="72"/>
      <c r="B16" s="75"/>
      <c r="C16" s="75"/>
      <c r="D16" s="164" t="s">
        <v>71</v>
      </c>
      <c r="E16" s="164"/>
      <c r="F16" s="164"/>
      <c r="G16" s="172" t="str">
        <f>'General Input'!D9</f>
        <v>Line#101</v>
      </c>
      <c r="H16" s="172"/>
      <c r="I16" s="173"/>
    </row>
    <row r="17" spans="1:9">
      <c r="A17" s="72"/>
      <c r="B17" s="75"/>
      <c r="C17" s="75"/>
      <c r="D17" s="164" t="s">
        <v>96</v>
      </c>
      <c r="E17" s="164"/>
      <c r="F17" s="164"/>
      <c r="G17" s="111" t="str">
        <f>'General Input'!D11</f>
        <v>abc</v>
      </c>
      <c r="H17" s="78"/>
      <c r="I17" s="79"/>
    </row>
    <row r="18" spans="1:9">
      <c r="A18" s="72"/>
      <c r="B18" s="75"/>
      <c r="C18" s="75"/>
      <c r="D18" s="164" t="s">
        <v>72</v>
      </c>
      <c r="E18" s="164"/>
      <c r="F18" s="164"/>
      <c r="G18" s="174">
        <f>'General Input'!E11</f>
        <v>0</v>
      </c>
      <c r="H18" s="174"/>
      <c r="I18" s="175"/>
    </row>
    <row r="19" spans="1:9" ht="13.5" thickBot="1">
      <c r="A19" s="80"/>
      <c r="B19" s="81"/>
      <c r="C19" s="81"/>
      <c r="D19" s="169" t="s">
        <v>73</v>
      </c>
      <c r="E19" s="169"/>
      <c r="F19" s="169"/>
      <c r="G19" s="170">
        <f ca="1">NOW()</f>
        <v>40780.731701157405</v>
      </c>
      <c r="H19" s="170"/>
      <c r="I19" s="171"/>
    </row>
    <row r="20" spans="1:9" ht="13.5" thickTop="1">
      <c r="A20" s="71"/>
      <c r="B20" s="71"/>
      <c r="C20" s="71"/>
      <c r="D20" s="71"/>
      <c r="E20" s="71"/>
      <c r="F20" s="71"/>
      <c r="G20" s="71"/>
      <c r="H20" s="71"/>
      <c r="I20" s="71"/>
    </row>
    <row r="21" spans="1:9">
      <c r="A21" s="71"/>
      <c r="B21" s="71"/>
      <c r="C21" s="71"/>
      <c r="D21" s="71"/>
      <c r="E21" s="71"/>
      <c r="F21" s="71"/>
      <c r="G21" s="71"/>
      <c r="H21" s="71"/>
      <c r="I21" s="71"/>
    </row>
    <row r="22" spans="1:9">
      <c r="A22" s="71"/>
      <c r="B22" s="71"/>
      <c r="C22" s="71"/>
      <c r="D22" s="71"/>
      <c r="E22" s="71"/>
      <c r="F22" s="71"/>
      <c r="G22" s="71"/>
      <c r="H22" s="71"/>
      <c r="I22" s="71"/>
    </row>
    <row r="23" spans="1:9">
      <c r="A23" s="71"/>
      <c r="B23" s="71"/>
      <c r="C23" s="71"/>
      <c r="D23" s="71"/>
      <c r="E23" s="71"/>
      <c r="F23" s="71"/>
      <c r="G23" s="71"/>
      <c r="H23" s="71"/>
      <c r="I23" s="71"/>
    </row>
    <row r="24" spans="1:9">
      <c r="A24" s="71"/>
      <c r="B24" s="71"/>
      <c r="C24" s="71"/>
      <c r="D24" s="71"/>
      <c r="E24" s="71"/>
      <c r="F24" s="71"/>
      <c r="G24" s="71"/>
      <c r="H24" s="71"/>
      <c r="I24" s="71"/>
    </row>
    <row r="25" spans="1:9">
      <c r="A25" s="71"/>
      <c r="B25" s="71"/>
      <c r="C25" s="71"/>
      <c r="D25" s="71"/>
      <c r="E25" s="71"/>
      <c r="F25" s="71"/>
      <c r="G25" s="71"/>
      <c r="H25" s="71"/>
      <c r="I25" s="71"/>
    </row>
    <row r="26" spans="1:9">
      <c r="A26" s="71"/>
      <c r="H26" s="71"/>
      <c r="I26" s="71"/>
    </row>
  </sheetData>
  <sheetProtection password="DB83" sheet="1" objects="1" scenarios="1" selectLockedCells="1" selectUnlockedCells="1"/>
  <mergeCells count="17">
    <mergeCell ref="D19:F19"/>
    <mergeCell ref="G19:I19"/>
    <mergeCell ref="D15:F15"/>
    <mergeCell ref="G15:I15"/>
    <mergeCell ref="D16:F16"/>
    <mergeCell ref="G16:I16"/>
    <mergeCell ref="D17:F17"/>
    <mergeCell ref="D18:F18"/>
    <mergeCell ref="G18:I18"/>
    <mergeCell ref="A1:I1"/>
    <mergeCell ref="E7:F7"/>
    <mergeCell ref="D14:F14"/>
    <mergeCell ref="G14:I14"/>
    <mergeCell ref="A7:D7"/>
    <mergeCell ref="A8:D8"/>
    <mergeCell ref="A9:D9"/>
    <mergeCell ref="A10:D10"/>
  </mergeCells>
  <pageMargins left="1.1399999999999999" right="0.75" top="1" bottom="1" header="0.5" footer="0.5"/>
  <pageSetup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General Input</vt:lpstr>
      <vt:lpstr>Process Input</vt:lpstr>
      <vt:lpstr>Calculations</vt:lpstr>
      <vt:lpstr>Results</vt:lpstr>
      <vt:lpstr>Sheet1</vt:lpstr>
    </vt:vector>
  </TitlesOfParts>
  <Company>cds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abcd</dc:creator>
  <cp:lastModifiedBy>Avinash </cp:lastModifiedBy>
  <cp:lastPrinted>2001-11-06T08:08:45Z</cp:lastPrinted>
  <dcterms:created xsi:type="dcterms:W3CDTF">2001-10-13T05:22:54Z</dcterms:created>
  <dcterms:modified xsi:type="dcterms:W3CDTF">2011-08-25T12:03:39Z</dcterms:modified>
</cp:coreProperties>
</file>